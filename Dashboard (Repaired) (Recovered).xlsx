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0.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Ex1.xml" ContentType="application/vnd.ms-office.chartex+xml"/>
  <Override PartName="/xl/charts/style16.xml" ContentType="application/vnd.ms-office.chartstyle+xml"/>
  <Override PartName="/xl/charts/colors1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1.xml" ContentType="application/vnd.openxmlformats-officedocument.drawing+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Data Analytics course\Excel\Indian Box Office Analytics\Dashboard\"/>
    </mc:Choice>
  </mc:AlternateContent>
  <xr:revisionPtr revIDLastSave="0" documentId="13_ncr:1_{9355619B-6F3C-42F3-A279-71114EE2511A}" xr6:coauthVersionLast="47" xr6:coauthVersionMax="47" xr10:uidLastSave="{00000000-0000-0000-0000-000000000000}"/>
  <bookViews>
    <workbookView xWindow="-108" yWindow="-108" windowWidth="23256" windowHeight="12576" firstSheet="2" activeTab="5" xr2:uid="{00000000-000D-0000-FFFF-FFFF00000000}"/>
  </bookViews>
  <sheets>
    <sheet name="Overview" sheetId="21" r:id="rId1"/>
    <sheet name="Box Office Performance" sheetId="23" r:id="rId2"/>
    <sheet name="Industry Analysis" sheetId="25" r:id="rId3"/>
    <sheet name="Actor Insights" sheetId="27" r:id="rId4"/>
    <sheet name="Trends and Times" sheetId="31" r:id="rId5"/>
    <sheet name="Deep Insights" sheetId="32" r:id="rId6"/>
    <sheet name="Page 1" sheetId="11" r:id="rId7"/>
    <sheet name="Page 2" sheetId="12" r:id="rId8"/>
    <sheet name="Page 3" sheetId="13" r:id="rId9"/>
    <sheet name="Page 4" sheetId="16" r:id="rId10"/>
    <sheet name="Page 5" sheetId="19" r:id="rId11"/>
    <sheet name="Page 6" sheetId="20" r:id="rId12"/>
    <sheet name="movie" sheetId="3" state="hidden" r:id="rId13"/>
    <sheet name="movie_Bridge" sheetId="8" state="hidden" r:id="rId14"/>
    <sheet name="Actor-Remuneration" sheetId="6" state="hidden" r:id="rId15"/>
    <sheet name="year summary" sheetId="5" state="hidden" r:id="rId16"/>
    <sheet name="Merged" sheetId="7" state="hidden" r:id="rId17"/>
  </sheets>
  <definedNames>
    <definedName name="_xlchart.v1.0" hidden="1">'Page 6'!$A$44:$A$58</definedName>
    <definedName name="_xlchart.v1.1" hidden="1">'Page 6'!$B$44:$B$58</definedName>
    <definedName name="ExternalData_1" localSheetId="14" hidden="1">'Actor-Remuneration'!$A$1:$E$32</definedName>
    <definedName name="ExternalData_1" localSheetId="16" hidden="1">Merged!$A$1:$S$52</definedName>
    <definedName name="ExternalData_1" localSheetId="12" hidden="1">movie!$A$1:$O$34</definedName>
    <definedName name="ExternalData_1" localSheetId="13" hidden="1">movie_Bridge!$A$1:$O$52</definedName>
    <definedName name="ExternalData_1" localSheetId="15" hidden="1">'year summary'!$A$1:$E$37</definedName>
    <definedName name="Slicer_Genre">#N/A</definedName>
    <definedName name="Slicer_Industry">#N/A</definedName>
    <definedName name="Slicer_Industry1">#N/A</definedName>
    <definedName name="Slicer_Year">#N/A</definedName>
    <definedName name="Slicer_Years__Date">#N/A</definedName>
  </definedNames>
  <calcPr calcId="191029"/>
  <pivotCaches>
    <pivotCache cacheId="0" r:id="rId18"/>
    <pivotCache cacheId="1" r:id="rId19"/>
  </pivotCaches>
  <extLst>
    <ext xmlns:x14="http://schemas.microsoft.com/office/spreadsheetml/2009/9/main" uri="{BBE1A952-AA13-448e-AADC-164F8A28A991}">
      <x14:slicerCaches>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67" i="12" l="1"/>
  <c r="P34" i="3"/>
  <c r="P33" i="3"/>
  <c r="P32" i="3"/>
  <c r="P31" i="3"/>
  <c r="P30" i="3"/>
  <c r="P29" i="3"/>
  <c r="P28" i="3"/>
  <c r="P27" i="3"/>
  <c r="P26" i="3"/>
  <c r="P25" i="3"/>
  <c r="P24" i="3"/>
  <c r="P23" i="3"/>
  <c r="P22" i="3"/>
  <c r="P21" i="3"/>
  <c r="P20" i="3"/>
  <c r="P19" i="3"/>
  <c r="P18" i="3"/>
  <c r="P17" i="3"/>
  <c r="P16" i="3"/>
  <c r="P15" i="3"/>
  <c r="P14" i="3"/>
  <c r="P13" i="3"/>
  <c r="P12" i="3"/>
  <c r="P11" i="3"/>
  <c r="P10" i="3"/>
  <c r="P9" i="3"/>
  <c r="P8" i="3"/>
  <c r="P7" i="3"/>
  <c r="P6" i="3"/>
  <c r="P5" i="3"/>
  <c r="P4" i="3"/>
  <c r="P3" i="3"/>
  <c r="P2" i="3"/>
  <c r="I3" i="11"/>
  <c r="H3" i="11"/>
  <c r="G3" i="11"/>
  <c r="F3"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F02F72-5F9F-4EB5-A03F-ED5CEC577FD4}" keepAlive="1" name="Query - Actor-Remuneration" description="Connection to the 'Actor-Remuneration' query in the workbook." type="5" refreshedVersion="8" background="1" saveData="1">
    <dbPr connection="Provider=Microsoft.Mashup.OleDb.1;Data Source=$Workbook$;Location=Actor-Remuneration;Extended Properties=&quot;&quot;" command="SELECT * FROM [Actor-Remuneration]"/>
  </connection>
  <connection id="2" xr16:uid="{1BC5F553-1B2D-481E-AB31-56DFD899DF05}"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3" xr16:uid="{50CD6DF6-9A40-4E9F-82AB-81C0199C1B7D}" keepAlive="1" name="Query - movie" description="Connection to the 'movie' query in the workbook." type="5" refreshedVersion="8" background="1" saveData="1">
    <dbPr connection="Provider=Microsoft.Mashup.OleDb.1;Data Source=$Workbook$;Location=movie;Extended Properties=&quot;&quot;" command="SELECT * FROM [movie]"/>
  </connection>
  <connection id="4" xr16:uid="{0D6D6222-8291-456D-856F-8CE2F075A90A}" keepAlive="1" name="Query - movie_Bridge" description="Connection to the 'movie_Bridge' query in the workbook." type="5" refreshedVersion="8" background="1" saveData="1">
    <dbPr connection="Provider=Microsoft.Mashup.OleDb.1;Data Source=$Workbook$;Location=movie_Bridge;Extended Properties=&quot;&quot;" command="SELECT * FROM [movie_Bridge]"/>
  </connection>
  <connection id="5" xr16:uid="{B66A41E5-1206-4CB5-BB86-CBD00DF221D4}" keepAlive="1" name="Query - year summary" description="Connection to the 'year summary' query in the workbook." type="5" refreshedVersion="8" background="1" saveData="1">
    <dbPr connection="Provider=Microsoft.Mashup.OleDb.1;Data Source=$Workbook$;Location=&quot;year summary&quot;;Extended Properties=&quot;&quot;" command="SELECT * FROM [year summary]"/>
  </connection>
</connections>
</file>

<file path=xl/sharedStrings.xml><?xml version="1.0" encoding="utf-8"?>
<sst xmlns="http://schemas.openxmlformats.org/spreadsheetml/2006/main" count="1469" uniqueCount="203">
  <si>
    <t>Movie_Title</t>
  </si>
  <si>
    <t>Industry</t>
  </si>
  <si>
    <t>Language</t>
  </si>
  <si>
    <t>Director</t>
  </si>
  <si>
    <t>Lead_Actors</t>
  </si>
  <si>
    <t>Genre</t>
  </si>
  <si>
    <t>Budget_Cr</t>
  </si>
  <si>
    <t>India_Net_Cr</t>
  </si>
  <si>
    <t>Worldwide_Gross_Cr</t>
  </si>
  <si>
    <t>Overseas_Cr</t>
  </si>
  <si>
    <t>Verdict</t>
  </si>
  <si>
    <t>Days_Run</t>
  </si>
  <si>
    <t>OTT_Platform</t>
  </si>
  <si>
    <t>Baahubali</t>
  </si>
  <si>
    <t>Telugu</t>
  </si>
  <si>
    <t>Blockbuster</t>
  </si>
  <si>
    <t>Netflix</t>
  </si>
  <si>
    <t>ss rajamouli</t>
  </si>
  <si>
    <t>Action</t>
  </si>
  <si>
    <t>Amazon</t>
  </si>
  <si>
    <t>RRR</t>
  </si>
  <si>
    <t>S S Rajamouli</t>
  </si>
  <si>
    <t>KGF 2</t>
  </si>
  <si>
    <t>Kannada</t>
  </si>
  <si>
    <t>Prashanth Neel</t>
  </si>
  <si>
    <t>SuperHit</t>
  </si>
  <si>
    <t>Prime</t>
  </si>
  <si>
    <t>Pushpa</t>
  </si>
  <si>
    <t>Sukumar</t>
  </si>
  <si>
    <t>Hit</t>
  </si>
  <si>
    <t>Jawan</t>
  </si>
  <si>
    <t>Hindi</t>
  </si>
  <si>
    <t>Atlee</t>
  </si>
  <si>
    <t>Dangal</t>
  </si>
  <si>
    <t>Nitesh Tiwari</t>
  </si>
  <si>
    <t>Drama</t>
  </si>
  <si>
    <t>AllTimeBlockbuster</t>
  </si>
  <si>
    <t>Hotstar</t>
  </si>
  <si>
    <t>Leo</t>
  </si>
  <si>
    <t>Tamil</t>
  </si>
  <si>
    <t>Lokesh Kanagaraj</t>
  </si>
  <si>
    <t>Vikram</t>
  </si>
  <si>
    <t>Lokesh</t>
  </si>
  <si>
    <t>KGF Chapter 1</t>
  </si>
  <si>
    <t>Yash</t>
  </si>
  <si>
    <t>War</t>
  </si>
  <si>
    <t>Siddharth Anand</t>
  </si>
  <si>
    <t>Pathaan</t>
  </si>
  <si>
    <t>Master</t>
  </si>
  <si>
    <t>Kantara</t>
  </si>
  <si>
    <t>Rishab Shetty</t>
  </si>
  <si>
    <t>Drishyam 2</t>
  </si>
  <si>
    <t>Abhishek Pathak</t>
  </si>
  <si>
    <t>Thriller</t>
  </si>
  <si>
    <t>Tiger 3</t>
  </si>
  <si>
    <t>Maneesh Sharma</t>
  </si>
  <si>
    <t>Average</t>
  </si>
  <si>
    <t>Salaar</t>
  </si>
  <si>
    <t>Jailer</t>
  </si>
  <si>
    <t>Nelson</t>
  </si>
  <si>
    <t>Rajinikanth</t>
  </si>
  <si>
    <t>Animal</t>
  </si>
  <si>
    <t>Sandeep Reddy</t>
  </si>
  <si>
    <t>Ranbir Kapoor</t>
  </si>
  <si>
    <t>Lucifer</t>
  </si>
  <si>
    <t>Malayalam</t>
  </si>
  <si>
    <t>Prithviraj Sukumaran</t>
  </si>
  <si>
    <t>Mohanlal</t>
  </si>
  <si>
    <t>Pulimurugan</t>
  </si>
  <si>
    <t>Vysakh</t>
  </si>
  <si>
    <t>Jeethu Joseph</t>
  </si>
  <si>
    <t>Premam</t>
  </si>
  <si>
    <t>Alphonse Puthren</t>
  </si>
  <si>
    <t>Nivin Pauly</t>
  </si>
  <si>
    <t>Minnal Murali</t>
  </si>
  <si>
    <t>Basil Joseph</t>
  </si>
  <si>
    <t>Tovino Thomas</t>
  </si>
  <si>
    <t>2018</t>
  </si>
  <si>
    <t>Jude Anthany Joseph</t>
  </si>
  <si>
    <t>SonyLiv</t>
  </si>
  <si>
    <t>Bheeshma Parvam</t>
  </si>
  <si>
    <t>Amal Neerad</t>
  </si>
  <si>
    <t>Mammootty</t>
  </si>
  <si>
    <t>Kurup</t>
  </si>
  <si>
    <t>Srinath Rajendran</t>
  </si>
  <si>
    <t>Dulquer Salmaan</t>
  </si>
  <si>
    <t>Aavesham</t>
  </si>
  <si>
    <t>Jithu Madhavan</t>
  </si>
  <si>
    <t>Fahadh Faasil</t>
  </si>
  <si>
    <t>RDX</t>
  </si>
  <si>
    <t>Nahas Hidayath</t>
  </si>
  <si>
    <t>Malik</t>
  </si>
  <si>
    <t>mahesh narayanan</t>
  </si>
  <si>
    <t>Kumbalangi Nights</t>
  </si>
  <si>
    <t>Madhu C Narayanan</t>
  </si>
  <si>
    <t>Hridayam</t>
  </si>
  <si>
    <t>Vineeth Sreenivasan</t>
  </si>
  <si>
    <t>Pranav Mohanlal</t>
  </si>
  <si>
    <t>Driving Licence</t>
  </si>
  <si>
    <t>Lal Jr</t>
  </si>
  <si>
    <t>King of Kotha</t>
  </si>
  <si>
    <t>Abhilash Joshiy</t>
  </si>
  <si>
    <t>Flop</t>
  </si>
  <si>
    <t>Actor_Name</t>
  </si>
  <si>
    <t>Year</t>
  </si>
  <si>
    <t>Prabhas</t>
  </si>
  <si>
    <t>Allu Arjun</t>
  </si>
  <si>
    <t>Shah Rukh Khan</t>
  </si>
  <si>
    <t>Aamir Khan</t>
  </si>
  <si>
    <t>Vijay</t>
  </si>
  <si>
    <t>Kamal Hassan</t>
  </si>
  <si>
    <t>Salman Khan</t>
  </si>
  <si>
    <t>Ajay Devgn</t>
  </si>
  <si>
    <t>Hrithik Roshan</t>
  </si>
  <si>
    <t>Turbo</t>
  </si>
  <si>
    <t>Moothon</t>
  </si>
  <si>
    <t>Total_Budget</t>
  </si>
  <si>
    <t>Total_Collection</t>
  </si>
  <si>
    <t>Num_Releases</t>
  </si>
  <si>
    <t>Ram Charan</t>
  </si>
  <si>
    <t>Jr Ntr</t>
  </si>
  <si>
    <t>Date</t>
  </si>
  <si>
    <t>TOLLYWOOD</t>
  </si>
  <si>
    <t>Prabhas , Rana</t>
  </si>
  <si>
    <t>Action,Drama</t>
  </si>
  <si>
    <t>SANDALWOOD</t>
  </si>
  <si>
    <t>Yash,Srinidhi</t>
  </si>
  <si>
    <t>Allu Arjun,Rashmika</t>
  </si>
  <si>
    <t>BOLLYWOOD</t>
  </si>
  <si>
    <t>Shah Rukh Khan,Nayanthara</t>
  </si>
  <si>
    <t>Aamir Khan,Fatima</t>
  </si>
  <si>
    <t>KOLLYWOOD</t>
  </si>
  <si>
    <t>Vijay,Trisha</t>
  </si>
  <si>
    <t>Hrithik Roshan,Tiger</t>
  </si>
  <si>
    <t>Shah Rukh Khan,Deepika</t>
  </si>
  <si>
    <t>Vijay,Vijay Sethupathi</t>
  </si>
  <si>
    <t>Ajay Devgn,Tabu</t>
  </si>
  <si>
    <t>Salman Khan,Katrina</t>
  </si>
  <si>
    <t>Prabhas,Shruti</t>
  </si>
  <si>
    <t>MOLLYWOOD</t>
  </si>
  <si>
    <t>Romance,Drama</t>
  </si>
  <si>
    <t>Superhero,Drama</t>
  </si>
  <si>
    <t>Tovino Thomas,Asif Ali</t>
  </si>
  <si>
    <t>Crime,Drama</t>
  </si>
  <si>
    <t>Comedy,Action</t>
  </si>
  <si>
    <t>Antony Varghese,Shane Nigam</t>
  </si>
  <si>
    <t>Fahadh Faasil,Shane Nigam</t>
  </si>
  <si>
    <t>Prithviraj Sukumaran,Suraj</t>
  </si>
  <si>
    <t>ROI</t>
  </si>
  <si>
    <t>Remuneration</t>
  </si>
  <si>
    <t>Rrr</t>
  </si>
  <si>
    <t>Kgf 2</t>
  </si>
  <si>
    <t>King Of Kotha</t>
  </si>
  <si>
    <t>Rana</t>
  </si>
  <si>
    <t>Srinidhi</t>
  </si>
  <si>
    <t>Rashmika</t>
  </si>
  <si>
    <t>Nayanthara</t>
  </si>
  <si>
    <t>Fatima</t>
  </si>
  <si>
    <t>Trisha</t>
  </si>
  <si>
    <t>Kgf Chapter 1</t>
  </si>
  <si>
    <t>Tiger</t>
  </si>
  <si>
    <t>Deepika</t>
  </si>
  <si>
    <t>Vijay Sethupathi</t>
  </si>
  <si>
    <t>Tabu</t>
  </si>
  <si>
    <t>Katrina</t>
  </si>
  <si>
    <t>Shruti</t>
  </si>
  <si>
    <t>Asif Ali</t>
  </si>
  <si>
    <t>Rdx</t>
  </si>
  <si>
    <t>Antony Varghese</t>
  </si>
  <si>
    <t>Shane Nigam</t>
  </si>
  <si>
    <t>Suraj</t>
  </si>
  <si>
    <t>Actor-Remuneration.Remuneration</t>
  </si>
  <si>
    <t>Actor-Remuneration.Year</t>
  </si>
  <si>
    <t>Jr NTR,Ram Charan</t>
  </si>
  <si>
    <t>kamal hassan,fahadh faasil</t>
  </si>
  <si>
    <t>Sum of Worldwide_Gross_Cr</t>
  </si>
  <si>
    <t>Count of Movie_Title</t>
  </si>
  <si>
    <t>Average of Budget_Cr</t>
  </si>
  <si>
    <t>Sum of ROI</t>
  </si>
  <si>
    <t>Row Labels</t>
  </si>
  <si>
    <t>Grand Total</t>
  </si>
  <si>
    <t>2015</t>
  </si>
  <si>
    <t>2016</t>
  </si>
  <si>
    <t>2019</t>
  </si>
  <si>
    <t>2021</t>
  </si>
  <si>
    <t>2022</t>
  </si>
  <si>
    <t>2023</t>
  </si>
  <si>
    <t>2024</t>
  </si>
  <si>
    <t>Column Labels</t>
  </si>
  <si>
    <t>Count of Verdict</t>
  </si>
  <si>
    <t>Average of ROI</t>
  </si>
  <si>
    <t>Actor Remuneration</t>
  </si>
  <si>
    <t>World wide Gross</t>
  </si>
  <si>
    <t>Efficiency</t>
  </si>
  <si>
    <t>Action/Drama</t>
  </si>
  <si>
    <t>Romance/Drama</t>
  </si>
  <si>
    <t>Superhero/Drama</t>
  </si>
  <si>
    <t>Crime/Drama</t>
  </si>
  <si>
    <t>Comedy/Action</t>
  </si>
  <si>
    <t>Hit_Flag</t>
  </si>
  <si>
    <t>Average of Hit_Flag</t>
  </si>
  <si>
    <t>Revenue</t>
  </si>
  <si>
    <t>Forecast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</si>
</sst>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0.000"/>
    <numFmt numFmtId="165" formatCode="_ * #,##0_ ;_ * \-#,##0_ ;_ * &quot;-&quot;??_ ;_ @_ "/>
  </numFmts>
  <fonts count="4"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rgb="FF0F172A"/>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4">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1" applyNumberFormat="1" applyFont="1"/>
    <xf numFmtId="165" fontId="0" fillId="0" borderId="0" xfId="0" applyNumberFormat="1"/>
    <xf numFmtId="10" fontId="0" fillId="0" borderId="0" xfId="0" applyNumberFormat="1"/>
    <xf numFmtId="0" fontId="2"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0" fillId="2" borderId="0" xfId="0" applyFill="1" applyAlignment="1">
      <alignment horizontal="center"/>
    </xf>
    <xf numFmtId="0" fontId="0" fillId="0" borderId="0" xfId="0" applyNumberFormat="1"/>
  </cellXfs>
  <cellStyles count="2">
    <cellStyle name="Comma" xfId="1" builtinId="3"/>
    <cellStyle name="Normal" xfId="0" builtinId="0"/>
  </cellStyles>
  <dxfs count="3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4" formatCode="0.00%"/>
    </dxf>
    <dxf>
      <numFmt numFmtId="13" formatCode="0%"/>
    </dxf>
    <dxf>
      <numFmt numFmtId="164" formatCode="0.000"/>
    </dxf>
    <dxf>
      <numFmt numFmtId="165" formatCode="_ * #,##0_ ;_ * \-#,##0_ ;_ * &quot;-&quot;??_ ;_ @_ "/>
    </dxf>
    <dxf>
      <numFmt numFmtId="165" formatCode="_ * #,##0_ ;_ * \-#,##0_ ;_ * &quot;-&quot;??_ ;_ @_ "/>
    </dxf>
  </dxfs>
  <tableStyles count="1" defaultTableStyle="TableStyleMedium2" defaultPivotStyle="PivotStyleLight16">
    <tableStyle name="Slicer Style 1" pivot="0" table="0" count="0" xr9:uid="{48987B08-C272-4652-B58C-DD261071B6CF}"/>
  </tableStyles>
  <colors>
    <mruColors>
      <color rgb="FFFF99CC"/>
      <color rgb="FF0F172A"/>
      <color rgb="FF00FF00"/>
      <color rgb="FF5B4411"/>
      <color rgb="FF2FD70D"/>
      <color rgb="FFFF0000"/>
      <color rgb="FFFF9900"/>
      <color rgb="FF66CCFF"/>
      <color rgb="FF33CCC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2.xml"/><Relationship Id="rId34"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styles" Target="styles.xml"/><Relationship Id="rId30" Type="http://schemas.openxmlformats.org/officeDocument/2006/relationships/customXml" Target="../customXml/item1.xml"/><Relationship Id="rId35" Type="http://schemas.openxmlformats.org/officeDocument/2006/relationships/customXml" Target="../customXml/item6.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(Repaired) (Recovered).xlsx]Page 1!PivotTable4</c:name>
    <c:fmtId val="8"/>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Movies By Year</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rgbClr val="33CCCC">
                  <a:shade val="30000"/>
                  <a:satMod val="115000"/>
                </a:srgbClr>
              </a:gs>
              <a:gs pos="50000">
                <a:srgbClr val="33CCCC">
                  <a:shade val="67500"/>
                  <a:satMod val="115000"/>
                </a:srgbClr>
              </a:gs>
              <a:gs pos="100000">
                <a:srgbClr val="33CCCC">
                  <a:shade val="100000"/>
                  <a:satMod val="115000"/>
                </a:srgbClr>
              </a:gs>
            </a:gsLst>
            <a:lin ang="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rgbClr val="33CCCC">
                  <a:shade val="30000"/>
                  <a:satMod val="115000"/>
                </a:srgbClr>
              </a:gs>
              <a:gs pos="50000">
                <a:srgbClr val="33CCCC">
                  <a:shade val="67500"/>
                  <a:satMod val="115000"/>
                </a:srgbClr>
              </a:gs>
              <a:gs pos="100000">
                <a:srgbClr val="33CCCC">
                  <a:shade val="100000"/>
                  <a:satMod val="115000"/>
                </a:srgbClr>
              </a:gs>
            </a:gsLst>
            <a:lin ang="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rgbClr val="33CCCC">
                  <a:shade val="30000"/>
                  <a:satMod val="115000"/>
                </a:srgbClr>
              </a:gs>
              <a:gs pos="50000">
                <a:srgbClr val="33CCCC">
                  <a:shade val="67500"/>
                  <a:satMod val="115000"/>
                </a:srgbClr>
              </a:gs>
              <a:gs pos="100000">
                <a:srgbClr val="33CCCC">
                  <a:shade val="100000"/>
                  <a:satMod val="115000"/>
                </a:srgbClr>
              </a:gs>
            </a:gsLst>
            <a:lin ang="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rgbClr val="33CCCC">
                  <a:shade val="30000"/>
                  <a:satMod val="115000"/>
                </a:srgbClr>
              </a:gs>
              <a:gs pos="50000">
                <a:srgbClr val="33CCCC">
                  <a:shade val="67500"/>
                  <a:satMod val="115000"/>
                </a:srgbClr>
              </a:gs>
              <a:gs pos="100000">
                <a:srgbClr val="33CCCC">
                  <a:shade val="100000"/>
                  <a:satMod val="115000"/>
                </a:srgbClr>
              </a:gs>
            </a:gsLst>
            <a:lin ang="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cene3d>
          <a:camera prst="orthographicFront"/>
          <a:lightRig rig="threePt" dir="t"/>
        </a:scene3d>
        <a:sp3d prstMaterial="metal"/>
      </c:spPr>
    </c:sideWall>
    <c:backWall>
      <c:thickness val="0"/>
      <c:spPr>
        <a:noFill/>
        <a:ln>
          <a:noFill/>
        </a:ln>
        <a:effectLst/>
        <a:scene3d>
          <a:camera prst="orthographicFront"/>
          <a:lightRig rig="threePt" dir="t"/>
        </a:scene3d>
        <a:sp3d prstMaterial="metal"/>
      </c:spPr>
    </c:backWall>
    <c:plotArea>
      <c:layout/>
      <c:bar3DChart>
        <c:barDir val="col"/>
        <c:grouping val="clustered"/>
        <c:varyColors val="0"/>
        <c:ser>
          <c:idx val="0"/>
          <c:order val="0"/>
          <c:tx>
            <c:strRef>
              <c:f>'Page 1'!$B$28</c:f>
              <c:strCache>
                <c:ptCount val="1"/>
                <c:pt idx="0">
                  <c:v>Total</c:v>
                </c:pt>
              </c:strCache>
            </c:strRef>
          </c:tx>
          <c:spPr>
            <a:gradFill flip="none" rotWithShape="1">
              <a:gsLst>
                <a:gs pos="0">
                  <a:srgbClr val="33CCCC">
                    <a:shade val="30000"/>
                    <a:satMod val="115000"/>
                  </a:srgbClr>
                </a:gs>
                <a:gs pos="50000">
                  <a:srgbClr val="33CCCC">
                    <a:shade val="67500"/>
                    <a:satMod val="115000"/>
                  </a:srgbClr>
                </a:gs>
                <a:gs pos="100000">
                  <a:srgbClr val="33CCCC">
                    <a:shade val="100000"/>
                    <a:satMod val="115000"/>
                  </a:srgbClr>
                </a:gs>
              </a:gsLst>
              <a:lin ang="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1'!$A$29:$A$37</c:f>
              <c:strCache>
                <c:ptCount val="8"/>
                <c:pt idx="0">
                  <c:v>2015</c:v>
                </c:pt>
                <c:pt idx="1">
                  <c:v>2016</c:v>
                </c:pt>
                <c:pt idx="2">
                  <c:v>2018</c:v>
                </c:pt>
                <c:pt idx="3">
                  <c:v>2019</c:v>
                </c:pt>
                <c:pt idx="4">
                  <c:v>2021</c:v>
                </c:pt>
                <c:pt idx="5">
                  <c:v>2022</c:v>
                </c:pt>
                <c:pt idx="6">
                  <c:v>2023</c:v>
                </c:pt>
                <c:pt idx="7">
                  <c:v>2024</c:v>
                </c:pt>
              </c:strCache>
            </c:strRef>
          </c:cat>
          <c:val>
            <c:numRef>
              <c:f>'Page 1'!$B$29:$B$37</c:f>
              <c:numCache>
                <c:formatCode>General</c:formatCode>
                <c:ptCount val="8"/>
                <c:pt idx="0">
                  <c:v>2</c:v>
                </c:pt>
                <c:pt idx="1">
                  <c:v>2</c:v>
                </c:pt>
                <c:pt idx="2">
                  <c:v>1</c:v>
                </c:pt>
                <c:pt idx="3">
                  <c:v>4</c:v>
                </c:pt>
                <c:pt idx="4">
                  <c:v>6</c:v>
                </c:pt>
                <c:pt idx="5">
                  <c:v>7</c:v>
                </c:pt>
                <c:pt idx="6">
                  <c:v>10</c:v>
                </c:pt>
                <c:pt idx="7">
                  <c:v>1</c:v>
                </c:pt>
              </c:numCache>
            </c:numRef>
          </c:val>
          <c:extLst>
            <c:ext xmlns:c16="http://schemas.microsoft.com/office/drawing/2014/chart" uri="{C3380CC4-5D6E-409C-BE32-E72D297353CC}">
              <c16:uniqueId val="{00000000-40EB-4C75-9CF0-497B21D0A6FB}"/>
            </c:ext>
          </c:extLst>
        </c:ser>
        <c:dLbls>
          <c:showLegendKey val="0"/>
          <c:showVal val="1"/>
          <c:showCatName val="0"/>
          <c:showSerName val="0"/>
          <c:showPercent val="0"/>
          <c:showBubbleSize val="0"/>
        </c:dLbls>
        <c:gapWidth val="219"/>
        <c:shape val="box"/>
        <c:axId val="1092140191"/>
        <c:axId val="1092142591"/>
        <c:axId val="0"/>
      </c:bar3DChart>
      <c:catAx>
        <c:axId val="1092140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92142591"/>
        <c:crosses val="autoZero"/>
        <c:auto val="1"/>
        <c:lblAlgn val="ctr"/>
        <c:lblOffset val="100"/>
        <c:noMultiLvlLbl val="0"/>
      </c:catAx>
      <c:valAx>
        <c:axId val="1092142591"/>
        <c:scaling>
          <c:orientation val="minMax"/>
        </c:scaling>
        <c:delete val="1"/>
        <c:axPos val="l"/>
        <c:numFmt formatCode="General" sourceLinked="1"/>
        <c:majorTickMark val="out"/>
        <c:minorTickMark val="none"/>
        <c:tickLblPos val="nextTo"/>
        <c:crossAx val="1092140191"/>
        <c:crosses val="autoZero"/>
        <c:crossBetween val="between"/>
      </c:valAx>
      <c:spPr>
        <a:noFill/>
        <a:ln>
          <a:noFill/>
        </a:ln>
        <a:effectLst>
          <a:glow rad="127000">
            <a:schemeClr val="accent1"/>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(Repaired) (Recovered).xlsx]Page 1!PivotTable3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Total</a:t>
            </a:r>
            <a:r>
              <a:rPr lang="en-IN" sz="1600" b="1" baseline="0">
                <a:solidFill>
                  <a:schemeClr val="tx1"/>
                </a:solidFill>
              </a:rPr>
              <a:t> gross by Industry</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1642949547218628"/>
              <c:y val="-0.1447574334898278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2.8029322984044768E-2"/>
              <c:y val="0.1330203442879499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6386373436826218"/>
              <c:y val="0.1447574334898278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4014661492022423"/>
              <c:y val="-0.1251956181533646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7.3307460112117306E-2"/>
              <c:y val="-0.1447574334898278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0.11642949547218628"/>
              <c:y val="-0.1447574334898278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2.8029322984044768E-2"/>
              <c:y val="0.1330203442879499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16386373436826218"/>
              <c:y val="0.1447574334898278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0.14014661492022423"/>
              <c:y val="-0.1251956181533646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7.3307460112117306E-2"/>
              <c:y val="-0.1447574334898278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0.11642949547218628"/>
              <c:y val="-0.1447574334898278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2.8029322984044768E-2"/>
              <c:y val="0.1330203442879499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0.16386373436826218"/>
              <c:y val="0.1447574334898278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0.14014661492022423"/>
              <c:y val="-0.1251956181533646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7.3307460112117306E-2"/>
              <c:y val="-0.1447574334898278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'Page 1'!$B$5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02-4D82-B80D-267EBA9080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02-4D82-B80D-267EBA9080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02-4D82-B80D-267EBA9080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602-4D82-B80D-267EBA9080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602-4D82-B80D-267EBA908004}"/>
              </c:ext>
            </c:extLst>
          </c:dPt>
          <c:dLbls>
            <c:dLbl>
              <c:idx val="0"/>
              <c:layout>
                <c:manualLayout>
                  <c:x val="0.11642949547218628"/>
                  <c:y val="-0.1447574334898278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02-4D82-B80D-267EBA908004}"/>
                </c:ext>
              </c:extLst>
            </c:dLbl>
            <c:dLbl>
              <c:idx val="1"/>
              <c:layout>
                <c:manualLayout>
                  <c:x val="2.8029322984044768E-2"/>
                  <c:y val="0.1330203442879499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02-4D82-B80D-267EBA908004}"/>
                </c:ext>
              </c:extLst>
            </c:dLbl>
            <c:dLbl>
              <c:idx val="2"/>
              <c:layout>
                <c:manualLayout>
                  <c:x val="-0.16386373436826218"/>
                  <c:y val="0.1447574334898278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602-4D82-B80D-267EBA908004}"/>
                </c:ext>
              </c:extLst>
            </c:dLbl>
            <c:dLbl>
              <c:idx val="3"/>
              <c:layout>
                <c:manualLayout>
                  <c:x val="-0.14014661492022423"/>
                  <c:y val="-0.1251956181533646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602-4D82-B80D-267EBA908004}"/>
                </c:ext>
              </c:extLst>
            </c:dLbl>
            <c:dLbl>
              <c:idx val="4"/>
              <c:layout>
                <c:manualLayout>
                  <c:x val="-7.3307460112117306E-2"/>
                  <c:y val="-0.1447574334898278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602-4D82-B80D-267EBA90800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'Page 1'!$A$6:$A$11</c:f>
              <c:strCache>
                <c:ptCount val="5"/>
                <c:pt idx="0">
                  <c:v>BOLLYWOOD</c:v>
                </c:pt>
                <c:pt idx="1">
                  <c:v>KOLLYWOOD</c:v>
                </c:pt>
                <c:pt idx="2">
                  <c:v>MOLLYWOOD</c:v>
                </c:pt>
                <c:pt idx="3">
                  <c:v>SANDALWOOD</c:v>
                </c:pt>
                <c:pt idx="4">
                  <c:v>TOLLYWOOD</c:v>
                </c:pt>
              </c:strCache>
            </c:strRef>
          </c:cat>
          <c:val>
            <c:numRef>
              <c:f>'Page 1'!$B$6:$B$11</c:f>
              <c:numCache>
                <c:formatCode>General</c:formatCode>
                <c:ptCount val="5"/>
                <c:pt idx="0">
                  <c:v>6325</c:v>
                </c:pt>
                <c:pt idx="1">
                  <c:v>2000</c:v>
                </c:pt>
                <c:pt idx="2">
                  <c:v>1870</c:v>
                </c:pt>
                <c:pt idx="3">
                  <c:v>1950</c:v>
                </c:pt>
                <c:pt idx="4">
                  <c:v>3240</c:v>
                </c:pt>
              </c:numCache>
            </c:numRef>
          </c:val>
          <c:extLst>
            <c:ext xmlns:c16="http://schemas.microsoft.com/office/drawing/2014/chart" uri="{C3380CC4-5D6E-409C-BE32-E72D297353CC}">
              <c16:uniqueId val="{0000000A-8602-4D82-B80D-267EBA90800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(Repaired) (Recovered).xlsx]Page 2!PivotTable5</c:name>
    <c:fmtId val="3"/>
  </c:pivotSource>
  <c:chart>
    <c:title>
      <c:tx>
        <c:rich>
          <a:bodyPr rot="0" spcFirstLastPara="1" vertOverflow="ellipsis" vert="horz" wrap="square" anchor="ctr" anchorCtr="1"/>
          <a:lstStyle/>
          <a:p>
            <a:pPr>
              <a:defRPr sz="1400" b="1" i="1" u="sng" strike="noStrike" kern="1200" spc="0" baseline="0">
                <a:solidFill>
                  <a:schemeClr val="bg1"/>
                </a:solidFill>
                <a:latin typeface="+mn-lt"/>
                <a:ea typeface="+mn-ea"/>
                <a:cs typeface="+mn-cs"/>
              </a:defRPr>
            </a:pPr>
            <a:r>
              <a:rPr lang="en-US" b="1" i="1" u="sng">
                <a:solidFill>
                  <a:sysClr val="windowText" lastClr="000000"/>
                </a:solidFill>
              </a:rPr>
              <a:t>Top</a:t>
            </a:r>
            <a:r>
              <a:rPr lang="en-US" b="1" i="1" u="sng" baseline="0">
                <a:solidFill>
                  <a:sysClr val="windowText" lastClr="000000"/>
                </a:solidFill>
              </a:rPr>
              <a:t> 10 Movies by Revenue (Crores)</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1" u="sng" strike="noStrike" kern="1200" spc="0" baseline="0">
              <a:solidFill>
                <a:schemeClr val="bg1"/>
              </a:solidFill>
              <a:latin typeface="+mn-lt"/>
              <a:ea typeface="+mn-ea"/>
              <a:cs typeface="+mn-cs"/>
            </a:defRPr>
          </a:pPr>
          <a:endParaRPr lang="en-US"/>
        </a:p>
      </c:txPr>
    </c:title>
    <c:autoTitleDeleted val="0"/>
    <c:pivotFmts>
      <c:pivotFmt>
        <c:idx val="0"/>
        <c:spPr>
          <a:solidFill>
            <a:srgbClr val="66CC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2FD70D">
                  <a:shade val="30000"/>
                  <a:satMod val="115000"/>
                </a:srgbClr>
              </a:gs>
              <a:gs pos="50000">
                <a:srgbClr val="2FD70D">
                  <a:shade val="67500"/>
                  <a:satMod val="115000"/>
                </a:srgbClr>
              </a:gs>
              <a:gs pos="100000">
                <a:srgbClr val="2FD70D">
                  <a:shade val="100000"/>
                  <a:satMod val="115000"/>
                </a:srgbClr>
              </a:gs>
            </a:gsLst>
            <a:lin ang="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'Page 2'!$B$3</c:f>
              <c:strCache>
                <c:ptCount val="1"/>
                <c:pt idx="0">
                  <c:v>Total</c:v>
                </c:pt>
              </c:strCache>
            </c:strRef>
          </c:tx>
          <c:spPr>
            <a:gradFill flip="none" rotWithShape="1">
              <a:gsLst>
                <a:gs pos="0">
                  <a:srgbClr val="2FD70D">
                    <a:shade val="30000"/>
                    <a:satMod val="115000"/>
                  </a:srgbClr>
                </a:gs>
                <a:gs pos="50000">
                  <a:srgbClr val="2FD70D">
                    <a:shade val="67500"/>
                    <a:satMod val="115000"/>
                  </a:srgbClr>
                </a:gs>
                <a:gs pos="100000">
                  <a:srgbClr val="2FD70D">
                    <a:shade val="100000"/>
                    <a:satMod val="115000"/>
                  </a:srgbClr>
                </a:gs>
              </a:gsLst>
              <a:lin ang="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2'!$A$4:$A$15</c:f>
              <c:strCache>
                <c:ptCount val="11"/>
                <c:pt idx="0">
                  <c:v>Jailer</c:v>
                </c:pt>
                <c:pt idx="1">
                  <c:v>Leo</c:v>
                </c:pt>
                <c:pt idx="2">
                  <c:v>Baahubali</c:v>
                </c:pt>
                <c:pt idx="3">
                  <c:v>Drishyam 2</c:v>
                </c:pt>
                <c:pt idx="4">
                  <c:v>Salaar</c:v>
                </c:pt>
                <c:pt idx="5">
                  <c:v>Animal</c:v>
                </c:pt>
                <c:pt idx="6">
                  <c:v>Pathaan</c:v>
                </c:pt>
                <c:pt idx="7">
                  <c:v>Jawan</c:v>
                </c:pt>
                <c:pt idx="8">
                  <c:v>RRR</c:v>
                </c:pt>
                <c:pt idx="9">
                  <c:v>KGF 2</c:v>
                </c:pt>
                <c:pt idx="10">
                  <c:v>Dangal</c:v>
                </c:pt>
              </c:strCache>
            </c:strRef>
          </c:cat>
          <c:val>
            <c:numRef>
              <c:f>'Page 2'!$B$4:$B$15</c:f>
              <c:numCache>
                <c:formatCode>_ * #,##0_ ;_ * \-#,##0_ ;_ * "-"??_ ;_ @_ </c:formatCode>
                <c:ptCount val="11"/>
                <c:pt idx="0">
                  <c:v>600</c:v>
                </c:pt>
                <c:pt idx="1">
                  <c:v>600</c:v>
                </c:pt>
                <c:pt idx="2">
                  <c:v>640</c:v>
                </c:pt>
                <c:pt idx="3">
                  <c:v>650</c:v>
                </c:pt>
                <c:pt idx="4">
                  <c:v>900</c:v>
                </c:pt>
                <c:pt idx="5">
                  <c:v>900</c:v>
                </c:pt>
                <c:pt idx="6">
                  <c:v>1050</c:v>
                </c:pt>
                <c:pt idx="7">
                  <c:v>1100</c:v>
                </c:pt>
                <c:pt idx="8">
                  <c:v>1200</c:v>
                </c:pt>
                <c:pt idx="9">
                  <c:v>1200</c:v>
                </c:pt>
                <c:pt idx="10">
                  <c:v>2000</c:v>
                </c:pt>
              </c:numCache>
            </c:numRef>
          </c:val>
          <c:extLst>
            <c:ext xmlns:c16="http://schemas.microsoft.com/office/drawing/2014/chart" uri="{C3380CC4-5D6E-409C-BE32-E72D297353CC}">
              <c16:uniqueId val="{00000000-9C89-478A-8D52-590AE5DC9395}"/>
            </c:ext>
          </c:extLst>
        </c:ser>
        <c:dLbls>
          <c:showLegendKey val="0"/>
          <c:showVal val="1"/>
          <c:showCatName val="0"/>
          <c:showSerName val="0"/>
          <c:showPercent val="0"/>
          <c:showBubbleSize val="0"/>
        </c:dLbls>
        <c:gapWidth val="182"/>
        <c:shape val="box"/>
        <c:axId val="1655140655"/>
        <c:axId val="1655128655"/>
        <c:axId val="0"/>
      </c:bar3DChart>
      <c:catAx>
        <c:axId val="16551406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55128655"/>
        <c:crosses val="autoZero"/>
        <c:auto val="1"/>
        <c:lblAlgn val="ctr"/>
        <c:lblOffset val="100"/>
        <c:noMultiLvlLbl val="0"/>
      </c:catAx>
      <c:valAx>
        <c:axId val="1655128655"/>
        <c:scaling>
          <c:orientation val="minMax"/>
        </c:scaling>
        <c:delete val="1"/>
        <c:axPos val="b"/>
        <c:numFmt formatCode="_ * #,##0_ ;_ * \-#,##0_ ;_ * &quot;-&quot;??_ ;_ @_ " sourceLinked="1"/>
        <c:majorTickMark val="out"/>
        <c:minorTickMark val="none"/>
        <c:tickLblPos val="nextTo"/>
        <c:crossAx val="165514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(Repaired) (Recovered).xlsx]Page 2!PivotTable6</c:name>
    <c:fmtId val="8"/>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600" b="1" i="1" u="sng">
                <a:solidFill>
                  <a:sysClr val="windowText" lastClr="000000"/>
                </a:solidFill>
              </a:rPr>
              <a:t>Budget</a:t>
            </a:r>
            <a:r>
              <a:rPr lang="en-US" sz="1600" b="1" i="1" u="sng" baseline="0">
                <a:solidFill>
                  <a:sysClr val="windowText" lastClr="000000"/>
                </a:solidFill>
              </a:rPr>
              <a:t> vs Revenue (Crores)</a:t>
            </a:r>
            <a:endParaRPr lang="en-US" sz="1600"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gradFill flip="none" rotWithShape="1">
            <a:gsLst>
              <a:gs pos="0">
                <a:srgbClr val="00FF00">
                  <a:shade val="30000"/>
                  <a:satMod val="115000"/>
                </a:srgbClr>
              </a:gs>
              <a:gs pos="50000">
                <a:srgbClr val="00FF00">
                  <a:shade val="67500"/>
                  <a:satMod val="115000"/>
                </a:srgbClr>
              </a:gs>
              <a:gs pos="100000">
                <a:srgbClr val="00FF00">
                  <a:shade val="100000"/>
                  <a:satMod val="115000"/>
                </a:srgbClr>
              </a:gs>
            </a:gsLst>
            <a:path path="circle">
              <a:fillToRect l="50000" t="50000" r="50000" b="50000"/>
            </a:path>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'Page 2'!$B$28</c:f>
              <c:strCache>
                <c:ptCount val="1"/>
                <c:pt idx="0">
                  <c:v>Total</c:v>
                </c:pt>
              </c:strCache>
            </c:strRef>
          </c:tx>
          <c:spPr>
            <a:gradFill flip="none" rotWithShape="1">
              <a:gsLst>
                <a:gs pos="0">
                  <a:srgbClr val="00FF00">
                    <a:shade val="30000"/>
                    <a:satMod val="115000"/>
                  </a:srgbClr>
                </a:gs>
                <a:gs pos="50000">
                  <a:srgbClr val="00FF00">
                    <a:shade val="67500"/>
                    <a:satMod val="115000"/>
                  </a:srgbClr>
                </a:gs>
                <a:gs pos="100000">
                  <a:srgbClr val="00FF00">
                    <a:shade val="100000"/>
                    <a:satMod val="115000"/>
                  </a:srgbClr>
                </a:gs>
              </a:gsLst>
              <a:path path="circle">
                <a:fillToRect l="50000" t="50000" r="50000" b="50000"/>
              </a:path>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2'!$A$29:$A$52</c:f>
              <c:strCache>
                <c:ptCount val="23"/>
                <c:pt idx="0">
                  <c:v>8</c:v>
                </c:pt>
                <c:pt idx="1">
                  <c:v>10</c:v>
                </c:pt>
                <c:pt idx="2">
                  <c:v>12</c:v>
                </c:pt>
                <c:pt idx="3">
                  <c:v>15</c:v>
                </c:pt>
                <c:pt idx="4">
                  <c:v>18</c:v>
                </c:pt>
                <c:pt idx="5">
                  <c:v>20</c:v>
                </c:pt>
                <c:pt idx="6">
                  <c:v>25</c:v>
                </c:pt>
                <c:pt idx="7">
                  <c:v>30</c:v>
                </c:pt>
                <c:pt idx="8">
                  <c:v>35</c:v>
                </c:pt>
                <c:pt idx="9">
                  <c:v>50</c:v>
                </c:pt>
                <c:pt idx="10">
                  <c:v>70</c:v>
                </c:pt>
                <c:pt idx="11">
                  <c:v>80</c:v>
                </c:pt>
                <c:pt idx="12">
                  <c:v>100</c:v>
                </c:pt>
                <c:pt idx="13">
                  <c:v>120</c:v>
                </c:pt>
                <c:pt idx="14">
                  <c:v>130</c:v>
                </c:pt>
                <c:pt idx="15">
                  <c:v>150</c:v>
                </c:pt>
                <c:pt idx="16">
                  <c:v>170</c:v>
                </c:pt>
                <c:pt idx="17">
                  <c:v>175</c:v>
                </c:pt>
                <c:pt idx="18">
                  <c:v>200</c:v>
                </c:pt>
                <c:pt idx="19">
                  <c:v>250</c:v>
                </c:pt>
                <c:pt idx="20">
                  <c:v>300</c:v>
                </c:pt>
                <c:pt idx="21">
                  <c:v>400</c:v>
                </c:pt>
                <c:pt idx="22">
                  <c:v>550</c:v>
                </c:pt>
              </c:strCache>
            </c:strRef>
          </c:cat>
          <c:val>
            <c:numRef>
              <c:f>'Page 2'!$B$29:$B$52</c:f>
              <c:numCache>
                <c:formatCode>General</c:formatCode>
                <c:ptCount val="23"/>
                <c:pt idx="0">
                  <c:v>65</c:v>
                </c:pt>
                <c:pt idx="1">
                  <c:v>75</c:v>
                </c:pt>
                <c:pt idx="2">
                  <c:v>70</c:v>
                </c:pt>
                <c:pt idx="3">
                  <c:v>80</c:v>
                </c:pt>
                <c:pt idx="4">
                  <c:v>70</c:v>
                </c:pt>
                <c:pt idx="5">
                  <c:v>565</c:v>
                </c:pt>
                <c:pt idx="6">
                  <c:v>375</c:v>
                </c:pt>
                <c:pt idx="7">
                  <c:v>450</c:v>
                </c:pt>
                <c:pt idx="8">
                  <c:v>100</c:v>
                </c:pt>
                <c:pt idx="9">
                  <c:v>720</c:v>
                </c:pt>
                <c:pt idx="10">
                  <c:v>2000</c:v>
                </c:pt>
                <c:pt idx="11">
                  <c:v>400</c:v>
                </c:pt>
                <c:pt idx="12">
                  <c:v>1200</c:v>
                </c:pt>
                <c:pt idx="13">
                  <c:v>450</c:v>
                </c:pt>
                <c:pt idx="14">
                  <c:v>350</c:v>
                </c:pt>
                <c:pt idx="15">
                  <c:v>500</c:v>
                </c:pt>
                <c:pt idx="16">
                  <c:v>475</c:v>
                </c:pt>
                <c:pt idx="17">
                  <c:v>640</c:v>
                </c:pt>
                <c:pt idx="18">
                  <c:v>1500</c:v>
                </c:pt>
                <c:pt idx="19">
                  <c:v>1650</c:v>
                </c:pt>
                <c:pt idx="20">
                  <c:v>1550</c:v>
                </c:pt>
                <c:pt idx="21">
                  <c:v>900</c:v>
                </c:pt>
                <c:pt idx="22">
                  <c:v>1200</c:v>
                </c:pt>
              </c:numCache>
            </c:numRef>
          </c:val>
          <c:extLst>
            <c:ext xmlns:c16="http://schemas.microsoft.com/office/drawing/2014/chart" uri="{C3380CC4-5D6E-409C-BE32-E72D297353CC}">
              <c16:uniqueId val="{00000000-FE47-4186-9186-6FB34282862B}"/>
            </c:ext>
          </c:extLst>
        </c:ser>
        <c:dLbls>
          <c:showLegendKey val="0"/>
          <c:showVal val="1"/>
          <c:showCatName val="0"/>
          <c:showSerName val="0"/>
          <c:showPercent val="0"/>
          <c:showBubbleSize val="0"/>
        </c:dLbls>
        <c:gapWidth val="150"/>
        <c:shape val="box"/>
        <c:axId val="1944635423"/>
        <c:axId val="1944635903"/>
        <c:axId val="0"/>
      </c:bar3DChart>
      <c:catAx>
        <c:axId val="1944635423"/>
        <c:scaling>
          <c:orientation val="minMax"/>
        </c:scaling>
        <c:delete val="0"/>
        <c:axPos val="b"/>
        <c:title>
          <c:tx>
            <c:rich>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en-IN" sz="1200" b="1">
                    <a:solidFill>
                      <a:sysClr val="windowText" lastClr="000000"/>
                    </a:solidFill>
                  </a:rPr>
                  <a:t>Budget (Cr)</a:t>
                </a:r>
              </a:p>
            </c:rich>
          </c:tx>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944635903"/>
        <c:crosses val="autoZero"/>
        <c:auto val="1"/>
        <c:lblAlgn val="ctr"/>
        <c:lblOffset val="100"/>
        <c:noMultiLvlLbl val="0"/>
      </c:catAx>
      <c:valAx>
        <c:axId val="1944635903"/>
        <c:scaling>
          <c:orientation val="minMax"/>
        </c:scaling>
        <c:delete val="1"/>
        <c:axPos val="l"/>
        <c:numFmt formatCode="General" sourceLinked="1"/>
        <c:majorTickMark val="none"/>
        <c:minorTickMark val="none"/>
        <c:tickLblPos val="nextTo"/>
        <c:crossAx val="1944635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(Repaired) (Recovered).xlsx]Page 2!PivotTable7</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Verdict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20985329958755156"/>
              <c:y val="-9.161905740512399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0.17088841793655593"/>
              <c:y val="-7.731000897090863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0.15341119337486261"/>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0.11068908889072376"/>
              <c:y val="0.1302063308983724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11068908889072376"/>
              <c:y val="0.1831026528258362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22720391930201195"/>
              <c:y val="8.5447904652056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'Page 2'!$B$59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950-4CE5-9EAD-95BD13A5014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950-4CE5-9EAD-95BD13A5014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950-4CE5-9EAD-95BD13A5014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950-4CE5-9EAD-95BD13A5014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950-4CE5-9EAD-95BD13A5014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950-4CE5-9EAD-95BD13A5014F}"/>
              </c:ext>
            </c:extLst>
          </c:dPt>
          <c:dLbls>
            <c:dLbl>
              <c:idx val="0"/>
              <c:layout>
                <c:manualLayout>
                  <c:x val="-0.20985329958755156"/>
                  <c:y val="-9.161905740512399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950-4CE5-9EAD-95BD13A5014F}"/>
                </c:ext>
              </c:extLst>
            </c:dLbl>
            <c:dLbl>
              <c:idx val="1"/>
              <c:layout>
                <c:manualLayout>
                  <c:x val="0.17088841793655593"/>
                  <c:y val="-7.731000897090863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950-4CE5-9EAD-95BD13A5014F}"/>
                </c:ext>
              </c:extLst>
            </c:dLbl>
            <c:dLbl>
              <c:idx val="2"/>
              <c:layout>
                <c:manualLayout>
                  <c:x val="0.15341119337486261"/>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950-4CE5-9EAD-95BD13A5014F}"/>
                </c:ext>
              </c:extLst>
            </c:dLbl>
            <c:dLbl>
              <c:idx val="3"/>
              <c:layout>
                <c:manualLayout>
                  <c:x val="0.11068908889072376"/>
                  <c:y val="0.1302063308983724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950-4CE5-9EAD-95BD13A5014F}"/>
                </c:ext>
              </c:extLst>
            </c:dLbl>
            <c:dLbl>
              <c:idx val="4"/>
              <c:layout>
                <c:manualLayout>
                  <c:x val="-0.11068908889072376"/>
                  <c:y val="0.1831026528258362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950-4CE5-9EAD-95BD13A5014F}"/>
                </c:ext>
              </c:extLst>
            </c:dLbl>
            <c:dLbl>
              <c:idx val="5"/>
              <c:layout>
                <c:manualLayout>
                  <c:x val="-0.22720391930201195"/>
                  <c:y val="8.544790465205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B950-4CE5-9EAD-95BD13A5014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'Page 2'!$A$60:$A$66</c:f>
              <c:strCache>
                <c:ptCount val="6"/>
                <c:pt idx="0">
                  <c:v>AllTimeBlockbuster</c:v>
                </c:pt>
                <c:pt idx="1">
                  <c:v>Average</c:v>
                </c:pt>
                <c:pt idx="2">
                  <c:v>Blockbuster</c:v>
                </c:pt>
                <c:pt idx="3">
                  <c:v>Flop</c:v>
                </c:pt>
                <c:pt idx="4">
                  <c:v>Hit</c:v>
                </c:pt>
                <c:pt idx="5">
                  <c:v>SuperHit</c:v>
                </c:pt>
              </c:strCache>
            </c:strRef>
          </c:cat>
          <c:val>
            <c:numRef>
              <c:f>'Page 2'!$B$60:$B$66</c:f>
              <c:numCache>
                <c:formatCode>General</c:formatCode>
                <c:ptCount val="6"/>
                <c:pt idx="0">
                  <c:v>1</c:v>
                </c:pt>
                <c:pt idx="1">
                  <c:v>2</c:v>
                </c:pt>
                <c:pt idx="2">
                  <c:v>12</c:v>
                </c:pt>
                <c:pt idx="3">
                  <c:v>1</c:v>
                </c:pt>
                <c:pt idx="4">
                  <c:v>14</c:v>
                </c:pt>
                <c:pt idx="5">
                  <c:v>3</c:v>
                </c:pt>
              </c:numCache>
            </c:numRef>
          </c:val>
          <c:extLst>
            <c:ext xmlns:c16="http://schemas.microsoft.com/office/drawing/2014/chart" uri="{C3380CC4-5D6E-409C-BE32-E72D297353CC}">
              <c16:uniqueId val="{0000000C-B950-4CE5-9EAD-95BD13A5014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 (Repaired) (Recovered).xlsx]Page 2!PivotTable8</c:name>
    <c:fmtId val="9"/>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600" i="1" u="sng">
                <a:solidFill>
                  <a:sysClr val="windowText" lastClr="000000"/>
                </a:solidFill>
              </a:rPr>
              <a:t>Revenue</a:t>
            </a:r>
            <a:r>
              <a:rPr lang="en-US" sz="1600" i="1" u="sng" baseline="0">
                <a:solidFill>
                  <a:sysClr val="windowText" lastClr="000000"/>
                </a:solidFill>
              </a:rPr>
              <a:t> By year (Crores)</a:t>
            </a:r>
            <a:endParaRPr lang="en-US" sz="1600"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s>
    <c:plotArea>
      <c:layout/>
      <c:lineChart>
        <c:grouping val="standard"/>
        <c:varyColors val="0"/>
        <c:ser>
          <c:idx val="0"/>
          <c:order val="0"/>
          <c:tx>
            <c:strRef>
              <c:f>'Page 2'!$B$76</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Pt>
            <c:idx val="1"/>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1-A316-4695-BF3F-617322C71E3A}"/>
              </c:ext>
            </c:extLst>
          </c:dPt>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2'!$A$77:$A$85</c:f>
              <c:strCache>
                <c:ptCount val="8"/>
                <c:pt idx="0">
                  <c:v>2015</c:v>
                </c:pt>
                <c:pt idx="1">
                  <c:v>2016</c:v>
                </c:pt>
                <c:pt idx="2">
                  <c:v>2018</c:v>
                </c:pt>
                <c:pt idx="3">
                  <c:v>2019</c:v>
                </c:pt>
                <c:pt idx="4">
                  <c:v>2021</c:v>
                </c:pt>
                <c:pt idx="5">
                  <c:v>2022</c:v>
                </c:pt>
                <c:pt idx="6">
                  <c:v>2023</c:v>
                </c:pt>
                <c:pt idx="7">
                  <c:v>2024</c:v>
                </c:pt>
              </c:strCache>
            </c:strRef>
          </c:cat>
          <c:val>
            <c:numRef>
              <c:f>'Page 2'!$B$77:$B$85</c:f>
              <c:numCache>
                <c:formatCode>General</c:formatCode>
                <c:ptCount val="8"/>
                <c:pt idx="0">
                  <c:v>715</c:v>
                </c:pt>
                <c:pt idx="1">
                  <c:v>2150</c:v>
                </c:pt>
                <c:pt idx="2">
                  <c:v>400</c:v>
                </c:pt>
                <c:pt idx="3">
                  <c:v>810</c:v>
                </c:pt>
                <c:pt idx="4">
                  <c:v>1395</c:v>
                </c:pt>
                <c:pt idx="5">
                  <c:v>3745</c:v>
                </c:pt>
                <c:pt idx="6">
                  <c:v>6020</c:v>
                </c:pt>
                <c:pt idx="7">
                  <c:v>150</c:v>
                </c:pt>
              </c:numCache>
            </c:numRef>
          </c:val>
          <c:smooth val="0"/>
          <c:extLst>
            <c:ext xmlns:c16="http://schemas.microsoft.com/office/drawing/2014/chart" uri="{C3380CC4-5D6E-409C-BE32-E72D297353CC}">
              <c16:uniqueId val="{00000000-A316-4695-BF3F-617322C71E3A}"/>
            </c:ext>
          </c:extLst>
        </c:ser>
        <c:dLbls>
          <c:dLblPos val="t"/>
          <c:showLegendKey val="0"/>
          <c:showVal val="1"/>
          <c:showCatName val="0"/>
          <c:showSerName val="0"/>
          <c:showPercent val="0"/>
          <c:showBubbleSize val="0"/>
        </c:dLbls>
        <c:marker val="1"/>
        <c:smooth val="0"/>
        <c:axId val="1932171903"/>
        <c:axId val="1932181983"/>
      </c:lineChart>
      <c:catAx>
        <c:axId val="193217190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932181983"/>
        <c:crosses val="autoZero"/>
        <c:auto val="1"/>
        <c:lblAlgn val="ctr"/>
        <c:lblOffset val="100"/>
        <c:noMultiLvlLbl val="0"/>
      </c:catAx>
      <c:valAx>
        <c:axId val="1932181983"/>
        <c:scaling>
          <c:orientation val="minMax"/>
        </c:scaling>
        <c:delete val="1"/>
        <c:axPos val="l"/>
        <c:numFmt formatCode="General" sourceLinked="1"/>
        <c:majorTickMark val="none"/>
        <c:minorTickMark val="none"/>
        <c:tickLblPos val="nextTo"/>
        <c:crossAx val="193217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(Repaired) (Recovered).xlsx]Page 3!PivotTable9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sng"/>
              <a:t>Revenue By </a:t>
            </a:r>
            <a:r>
              <a:rPr lang="en-US" sz="1600" b="1" i="1" u="sng">
                <a:solidFill>
                  <a:schemeClr val="tx1"/>
                </a:solidFill>
              </a:rPr>
              <a:t>Industry (Crores)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'Page 3'!$B$3</c:f>
              <c:strCache>
                <c:ptCount val="1"/>
                <c:pt idx="0">
                  <c:v>Total</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3'!$A$4:$A$9</c:f>
              <c:strCache>
                <c:ptCount val="5"/>
                <c:pt idx="0">
                  <c:v>BOLLYWOOD</c:v>
                </c:pt>
                <c:pt idx="1">
                  <c:v>KOLLYWOOD</c:v>
                </c:pt>
                <c:pt idx="2">
                  <c:v>MOLLYWOOD</c:v>
                </c:pt>
                <c:pt idx="3">
                  <c:v>SANDALWOOD</c:v>
                </c:pt>
                <c:pt idx="4">
                  <c:v>TOLLYWOOD</c:v>
                </c:pt>
              </c:strCache>
            </c:strRef>
          </c:cat>
          <c:val>
            <c:numRef>
              <c:f>'Page 3'!$B$4:$B$9</c:f>
              <c:numCache>
                <c:formatCode>General</c:formatCode>
                <c:ptCount val="5"/>
                <c:pt idx="0">
                  <c:v>6325</c:v>
                </c:pt>
                <c:pt idx="1">
                  <c:v>2000</c:v>
                </c:pt>
                <c:pt idx="2">
                  <c:v>1870</c:v>
                </c:pt>
                <c:pt idx="3">
                  <c:v>1950</c:v>
                </c:pt>
                <c:pt idx="4">
                  <c:v>3240</c:v>
                </c:pt>
              </c:numCache>
            </c:numRef>
          </c:val>
          <c:extLst>
            <c:ext xmlns:c16="http://schemas.microsoft.com/office/drawing/2014/chart" uri="{C3380CC4-5D6E-409C-BE32-E72D297353CC}">
              <c16:uniqueId val="{00000000-280A-4A72-AA73-012B9DC79449}"/>
            </c:ext>
          </c:extLst>
        </c:ser>
        <c:dLbls>
          <c:showLegendKey val="0"/>
          <c:showVal val="1"/>
          <c:showCatName val="0"/>
          <c:showSerName val="0"/>
          <c:showPercent val="0"/>
          <c:showBubbleSize val="0"/>
        </c:dLbls>
        <c:gapWidth val="150"/>
        <c:shape val="box"/>
        <c:axId val="1665701007"/>
        <c:axId val="1665701487"/>
        <c:axId val="0"/>
      </c:bar3DChart>
      <c:catAx>
        <c:axId val="1665701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65701487"/>
        <c:crosses val="autoZero"/>
        <c:auto val="1"/>
        <c:lblAlgn val="ctr"/>
        <c:lblOffset val="100"/>
        <c:noMultiLvlLbl val="0"/>
      </c:catAx>
      <c:valAx>
        <c:axId val="1665701487"/>
        <c:scaling>
          <c:orientation val="minMax"/>
        </c:scaling>
        <c:delete val="1"/>
        <c:axPos val="l"/>
        <c:numFmt formatCode="General" sourceLinked="1"/>
        <c:majorTickMark val="none"/>
        <c:minorTickMark val="none"/>
        <c:tickLblPos val="nextTo"/>
        <c:crossAx val="166570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(Repaired) (Recovered).xlsx]Page 3!PivotTable10</c:name>
    <c:fmtId val="1"/>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600" b="1" i="1" u="sng">
                <a:solidFill>
                  <a:schemeClr val="tx1"/>
                </a:solidFill>
              </a:rPr>
              <a:t>ROI By Industry(%)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3500000" scaled="1"/>
            <a:tileRect/>
          </a:gra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3500000" scaled="1"/>
            <a:tileRect/>
          </a:gra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'Page 3'!$B$22</c:f>
              <c:strCache>
                <c:ptCount val="1"/>
                <c:pt idx="0">
                  <c:v>Total</c:v>
                </c:pt>
              </c:strCache>
            </c:strRef>
          </c:tx>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3500000" scaled="1"/>
              <a:tileRect/>
            </a:gradFill>
            <a:ln>
              <a:noFill/>
            </a:ln>
            <a:effectLst/>
            <a:sp3d/>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3'!$A$23:$A$28</c:f>
              <c:strCache>
                <c:ptCount val="5"/>
                <c:pt idx="0">
                  <c:v>BOLLYWOOD</c:v>
                </c:pt>
                <c:pt idx="1">
                  <c:v>KOLLYWOOD</c:v>
                </c:pt>
                <c:pt idx="2">
                  <c:v>MOLLYWOOD</c:v>
                </c:pt>
                <c:pt idx="3">
                  <c:v>SANDALWOOD</c:v>
                </c:pt>
                <c:pt idx="4">
                  <c:v>TOLLYWOOD</c:v>
                </c:pt>
              </c:strCache>
            </c:strRef>
          </c:cat>
          <c:val>
            <c:numRef>
              <c:f>'Page 3'!$B$23:$B$28</c:f>
              <c:numCache>
                <c:formatCode>0.000</c:formatCode>
                <c:ptCount val="5"/>
                <c:pt idx="0">
                  <c:v>2.9028491396558627</c:v>
                </c:pt>
                <c:pt idx="1">
                  <c:v>1.7698717948717948</c:v>
                </c:pt>
                <c:pt idx="2">
                  <c:v>4.1831216931216932</c:v>
                </c:pt>
                <c:pt idx="3">
                  <c:v>8.6666666666666661</c:v>
                </c:pt>
                <c:pt idx="4">
                  <c:v>1.8906385281385281</c:v>
                </c:pt>
              </c:numCache>
            </c:numRef>
          </c:val>
          <c:extLst>
            <c:ext xmlns:c16="http://schemas.microsoft.com/office/drawing/2014/chart" uri="{C3380CC4-5D6E-409C-BE32-E72D297353CC}">
              <c16:uniqueId val="{00000000-DEAA-4210-9B87-F4D34011AFD1}"/>
            </c:ext>
          </c:extLst>
        </c:ser>
        <c:dLbls>
          <c:showLegendKey val="0"/>
          <c:showVal val="1"/>
          <c:showCatName val="0"/>
          <c:showSerName val="0"/>
          <c:showPercent val="0"/>
          <c:showBubbleSize val="0"/>
        </c:dLbls>
        <c:gapWidth val="150"/>
        <c:shape val="box"/>
        <c:axId val="1932169983"/>
        <c:axId val="1932172863"/>
        <c:axId val="0"/>
      </c:bar3DChart>
      <c:catAx>
        <c:axId val="1932169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932172863"/>
        <c:crosses val="autoZero"/>
        <c:auto val="1"/>
        <c:lblAlgn val="ctr"/>
        <c:lblOffset val="100"/>
        <c:noMultiLvlLbl val="0"/>
      </c:catAx>
      <c:valAx>
        <c:axId val="1932172863"/>
        <c:scaling>
          <c:orientation val="minMax"/>
        </c:scaling>
        <c:delete val="1"/>
        <c:axPos val="b"/>
        <c:numFmt formatCode="0.000" sourceLinked="1"/>
        <c:majorTickMark val="none"/>
        <c:minorTickMark val="none"/>
        <c:tickLblPos val="nextTo"/>
        <c:crossAx val="1932169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(Repaired) (Recovered).xlsx]Page 3!PivotTable11</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sz="1600" b="1" i="1" u="sng" strike="noStrike" baseline="0">
                <a:solidFill>
                  <a:schemeClr val="tx1"/>
                </a:solidFill>
              </a:rPr>
              <a:t>Year vs Industry Trend</a:t>
            </a:r>
            <a:endParaRPr lang="en-IN" sz="1600" b="1" i="1" u="sng">
              <a:solidFill>
                <a:schemeClr val="tx1"/>
              </a:solidFill>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'Page 3'!$B$38:$B$39</c:f>
              <c:strCache>
                <c:ptCount val="1"/>
                <c:pt idx="0">
                  <c:v>BOLLYWOOD</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3'!$A$40:$A$48</c:f>
              <c:strCache>
                <c:ptCount val="8"/>
                <c:pt idx="0">
                  <c:v>2015</c:v>
                </c:pt>
                <c:pt idx="1">
                  <c:v>2016</c:v>
                </c:pt>
                <c:pt idx="2">
                  <c:v>2018</c:v>
                </c:pt>
                <c:pt idx="3">
                  <c:v>2019</c:v>
                </c:pt>
                <c:pt idx="4">
                  <c:v>2021</c:v>
                </c:pt>
                <c:pt idx="5">
                  <c:v>2022</c:v>
                </c:pt>
                <c:pt idx="6">
                  <c:v>2023</c:v>
                </c:pt>
                <c:pt idx="7">
                  <c:v>2024</c:v>
                </c:pt>
              </c:strCache>
            </c:strRef>
          </c:cat>
          <c:val>
            <c:numRef>
              <c:f>'Page 3'!$B$40:$B$48</c:f>
              <c:numCache>
                <c:formatCode>General</c:formatCode>
                <c:ptCount val="8"/>
                <c:pt idx="1">
                  <c:v>2000</c:v>
                </c:pt>
                <c:pt idx="3">
                  <c:v>475</c:v>
                </c:pt>
                <c:pt idx="5">
                  <c:v>350</c:v>
                </c:pt>
                <c:pt idx="6">
                  <c:v>3500</c:v>
                </c:pt>
              </c:numCache>
            </c:numRef>
          </c:val>
          <c:smooth val="0"/>
          <c:extLst>
            <c:ext xmlns:c16="http://schemas.microsoft.com/office/drawing/2014/chart" uri="{C3380CC4-5D6E-409C-BE32-E72D297353CC}">
              <c16:uniqueId val="{00000000-B46D-4F48-8D28-D4B936D1E46F}"/>
            </c:ext>
          </c:extLst>
        </c:ser>
        <c:ser>
          <c:idx val="1"/>
          <c:order val="1"/>
          <c:tx>
            <c:strRef>
              <c:f>'Page 3'!$C$38:$C$39</c:f>
              <c:strCache>
                <c:ptCount val="1"/>
                <c:pt idx="0">
                  <c:v>KOLLYWOOD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3'!$A$40:$A$48</c:f>
              <c:strCache>
                <c:ptCount val="8"/>
                <c:pt idx="0">
                  <c:v>2015</c:v>
                </c:pt>
                <c:pt idx="1">
                  <c:v>2016</c:v>
                </c:pt>
                <c:pt idx="2">
                  <c:v>2018</c:v>
                </c:pt>
                <c:pt idx="3">
                  <c:v>2019</c:v>
                </c:pt>
                <c:pt idx="4">
                  <c:v>2021</c:v>
                </c:pt>
                <c:pt idx="5">
                  <c:v>2022</c:v>
                </c:pt>
                <c:pt idx="6">
                  <c:v>2023</c:v>
                </c:pt>
                <c:pt idx="7">
                  <c:v>2024</c:v>
                </c:pt>
              </c:strCache>
            </c:strRef>
          </c:cat>
          <c:val>
            <c:numRef>
              <c:f>'Page 3'!$C$40:$C$48</c:f>
              <c:numCache>
                <c:formatCode>General</c:formatCode>
                <c:ptCount val="8"/>
                <c:pt idx="4">
                  <c:v>350</c:v>
                </c:pt>
                <c:pt idx="5">
                  <c:v>450</c:v>
                </c:pt>
                <c:pt idx="6">
                  <c:v>1200</c:v>
                </c:pt>
              </c:numCache>
            </c:numRef>
          </c:val>
          <c:smooth val="0"/>
          <c:extLst>
            <c:ext xmlns:c16="http://schemas.microsoft.com/office/drawing/2014/chart" uri="{C3380CC4-5D6E-409C-BE32-E72D297353CC}">
              <c16:uniqueId val="{00000010-B46D-4F48-8D28-D4B936D1E46F}"/>
            </c:ext>
          </c:extLst>
        </c:ser>
        <c:ser>
          <c:idx val="2"/>
          <c:order val="2"/>
          <c:tx>
            <c:strRef>
              <c:f>'Page 3'!$D$38:$D$39</c:f>
              <c:strCache>
                <c:ptCount val="1"/>
                <c:pt idx="0">
                  <c:v>MOLLYWOOD</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3'!$A$40:$A$48</c:f>
              <c:strCache>
                <c:ptCount val="8"/>
                <c:pt idx="0">
                  <c:v>2015</c:v>
                </c:pt>
                <c:pt idx="1">
                  <c:v>2016</c:v>
                </c:pt>
                <c:pt idx="2">
                  <c:v>2018</c:v>
                </c:pt>
                <c:pt idx="3">
                  <c:v>2019</c:v>
                </c:pt>
                <c:pt idx="4">
                  <c:v>2021</c:v>
                </c:pt>
                <c:pt idx="5">
                  <c:v>2022</c:v>
                </c:pt>
                <c:pt idx="6">
                  <c:v>2023</c:v>
                </c:pt>
                <c:pt idx="7">
                  <c:v>2024</c:v>
                </c:pt>
              </c:strCache>
            </c:strRef>
          </c:cat>
          <c:val>
            <c:numRef>
              <c:f>'Page 3'!$D$40:$D$48</c:f>
              <c:numCache>
                <c:formatCode>General</c:formatCode>
                <c:ptCount val="8"/>
                <c:pt idx="0">
                  <c:v>75</c:v>
                </c:pt>
                <c:pt idx="1">
                  <c:v>150</c:v>
                </c:pt>
                <c:pt idx="3">
                  <c:v>335</c:v>
                </c:pt>
                <c:pt idx="4">
                  <c:v>545</c:v>
                </c:pt>
                <c:pt idx="5">
                  <c:v>195</c:v>
                </c:pt>
                <c:pt idx="6">
                  <c:v>420</c:v>
                </c:pt>
                <c:pt idx="7">
                  <c:v>150</c:v>
                </c:pt>
              </c:numCache>
            </c:numRef>
          </c:val>
          <c:smooth val="0"/>
          <c:extLst>
            <c:ext xmlns:c16="http://schemas.microsoft.com/office/drawing/2014/chart" uri="{C3380CC4-5D6E-409C-BE32-E72D297353CC}">
              <c16:uniqueId val="{00000011-B46D-4F48-8D28-D4B936D1E46F}"/>
            </c:ext>
          </c:extLst>
        </c:ser>
        <c:ser>
          <c:idx val="3"/>
          <c:order val="3"/>
          <c:tx>
            <c:strRef>
              <c:f>'Page 3'!$E$38:$E$39</c:f>
              <c:strCache>
                <c:ptCount val="1"/>
                <c:pt idx="0">
                  <c:v>SANDALWOOD</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3'!$A$40:$A$48</c:f>
              <c:strCache>
                <c:ptCount val="8"/>
                <c:pt idx="0">
                  <c:v>2015</c:v>
                </c:pt>
                <c:pt idx="1">
                  <c:v>2016</c:v>
                </c:pt>
                <c:pt idx="2">
                  <c:v>2018</c:v>
                </c:pt>
                <c:pt idx="3">
                  <c:v>2019</c:v>
                </c:pt>
                <c:pt idx="4">
                  <c:v>2021</c:v>
                </c:pt>
                <c:pt idx="5">
                  <c:v>2022</c:v>
                </c:pt>
                <c:pt idx="6">
                  <c:v>2023</c:v>
                </c:pt>
                <c:pt idx="7">
                  <c:v>2024</c:v>
                </c:pt>
              </c:strCache>
            </c:strRef>
          </c:cat>
          <c:val>
            <c:numRef>
              <c:f>'Page 3'!$E$40:$E$48</c:f>
              <c:numCache>
                <c:formatCode>General</c:formatCode>
                <c:ptCount val="8"/>
                <c:pt idx="2">
                  <c:v>400</c:v>
                </c:pt>
                <c:pt idx="5">
                  <c:v>1550</c:v>
                </c:pt>
              </c:numCache>
            </c:numRef>
          </c:val>
          <c:smooth val="0"/>
          <c:extLst>
            <c:ext xmlns:c16="http://schemas.microsoft.com/office/drawing/2014/chart" uri="{C3380CC4-5D6E-409C-BE32-E72D297353CC}">
              <c16:uniqueId val="{00000012-B46D-4F48-8D28-D4B936D1E46F}"/>
            </c:ext>
          </c:extLst>
        </c:ser>
        <c:ser>
          <c:idx val="4"/>
          <c:order val="4"/>
          <c:tx>
            <c:strRef>
              <c:f>'Page 3'!$F$38:$F$39</c:f>
              <c:strCache>
                <c:ptCount val="1"/>
                <c:pt idx="0">
                  <c:v>TOLLYWOOD</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3'!$A$40:$A$48</c:f>
              <c:strCache>
                <c:ptCount val="8"/>
                <c:pt idx="0">
                  <c:v>2015</c:v>
                </c:pt>
                <c:pt idx="1">
                  <c:v>2016</c:v>
                </c:pt>
                <c:pt idx="2">
                  <c:v>2018</c:v>
                </c:pt>
                <c:pt idx="3">
                  <c:v>2019</c:v>
                </c:pt>
                <c:pt idx="4">
                  <c:v>2021</c:v>
                </c:pt>
                <c:pt idx="5">
                  <c:v>2022</c:v>
                </c:pt>
                <c:pt idx="6">
                  <c:v>2023</c:v>
                </c:pt>
                <c:pt idx="7">
                  <c:v>2024</c:v>
                </c:pt>
              </c:strCache>
            </c:strRef>
          </c:cat>
          <c:val>
            <c:numRef>
              <c:f>'Page 3'!$F$40:$F$48</c:f>
              <c:numCache>
                <c:formatCode>General</c:formatCode>
                <c:ptCount val="8"/>
                <c:pt idx="0">
                  <c:v>640</c:v>
                </c:pt>
                <c:pt idx="4">
                  <c:v>500</c:v>
                </c:pt>
                <c:pt idx="5">
                  <c:v>1200</c:v>
                </c:pt>
                <c:pt idx="6">
                  <c:v>900</c:v>
                </c:pt>
              </c:numCache>
            </c:numRef>
          </c:val>
          <c:smooth val="0"/>
          <c:extLst>
            <c:ext xmlns:c16="http://schemas.microsoft.com/office/drawing/2014/chart" uri="{C3380CC4-5D6E-409C-BE32-E72D297353CC}">
              <c16:uniqueId val="{00000013-B46D-4F48-8D28-D4B936D1E46F}"/>
            </c:ext>
          </c:extLst>
        </c:ser>
        <c:dLbls>
          <c:dLblPos val="t"/>
          <c:showLegendKey val="0"/>
          <c:showVal val="1"/>
          <c:showCatName val="0"/>
          <c:showSerName val="0"/>
          <c:showPercent val="0"/>
          <c:showBubbleSize val="0"/>
        </c:dLbls>
        <c:smooth val="0"/>
        <c:axId val="1932171423"/>
        <c:axId val="1932163263"/>
      </c:lineChart>
      <c:catAx>
        <c:axId val="193217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932163263"/>
        <c:crosses val="autoZero"/>
        <c:auto val="1"/>
        <c:lblAlgn val="ctr"/>
        <c:lblOffset val="100"/>
        <c:noMultiLvlLbl val="0"/>
      </c:catAx>
      <c:valAx>
        <c:axId val="1932163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93217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(Repaired) (Recovered).xlsx]Page 4!PivotTable14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i="1" u="sng">
                <a:solidFill>
                  <a:schemeClr val="tx1"/>
                </a:solidFill>
              </a:rPr>
              <a:t>Top 10 Actor Earnings (Crores)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99C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99C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'Page 4'!$B$1</c:f>
              <c:strCache>
                <c:ptCount val="1"/>
                <c:pt idx="0">
                  <c:v>Total</c:v>
                </c:pt>
              </c:strCache>
            </c:strRef>
          </c:tx>
          <c:spPr>
            <a:solidFill>
              <a:srgbClr val="FF99CC"/>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4'!$A$2:$A$12</c:f>
              <c:strCache>
                <c:ptCount val="10"/>
                <c:pt idx="0">
                  <c:v>Deepika</c:v>
                </c:pt>
                <c:pt idx="1">
                  <c:v>Nayanthara</c:v>
                </c:pt>
                <c:pt idx="2">
                  <c:v>Jr Ntr</c:v>
                </c:pt>
                <c:pt idx="3">
                  <c:v>Srinidhi</c:v>
                </c:pt>
                <c:pt idx="4">
                  <c:v>Ram Charan</c:v>
                </c:pt>
                <c:pt idx="5">
                  <c:v>Prabhas</c:v>
                </c:pt>
                <c:pt idx="6">
                  <c:v>Yash</c:v>
                </c:pt>
                <c:pt idx="7">
                  <c:v>Aamir Khan</c:v>
                </c:pt>
                <c:pt idx="8">
                  <c:v>Fatima</c:v>
                </c:pt>
                <c:pt idx="9">
                  <c:v>Shah Rukh Khan</c:v>
                </c:pt>
              </c:strCache>
            </c:strRef>
          </c:cat>
          <c:val>
            <c:numRef>
              <c:f>'Page 4'!$B$2:$B$12</c:f>
              <c:numCache>
                <c:formatCode>General</c:formatCode>
                <c:ptCount val="10"/>
                <c:pt idx="0">
                  <c:v>1050</c:v>
                </c:pt>
                <c:pt idx="1">
                  <c:v>1100</c:v>
                </c:pt>
                <c:pt idx="2">
                  <c:v>1200</c:v>
                </c:pt>
                <c:pt idx="3">
                  <c:v>1200</c:v>
                </c:pt>
                <c:pt idx="4">
                  <c:v>1200</c:v>
                </c:pt>
                <c:pt idx="5">
                  <c:v>1540</c:v>
                </c:pt>
                <c:pt idx="6">
                  <c:v>1600</c:v>
                </c:pt>
                <c:pt idx="7">
                  <c:v>2000</c:v>
                </c:pt>
                <c:pt idx="8">
                  <c:v>2000</c:v>
                </c:pt>
                <c:pt idx="9">
                  <c:v>2150</c:v>
                </c:pt>
              </c:numCache>
            </c:numRef>
          </c:val>
          <c:extLst>
            <c:ext xmlns:c16="http://schemas.microsoft.com/office/drawing/2014/chart" uri="{C3380CC4-5D6E-409C-BE32-E72D297353CC}">
              <c16:uniqueId val="{00000000-18BC-4F0B-BB45-AD859E00F379}"/>
            </c:ext>
          </c:extLst>
        </c:ser>
        <c:dLbls>
          <c:dLblPos val="inEnd"/>
          <c:showLegendKey val="0"/>
          <c:showVal val="1"/>
          <c:showCatName val="0"/>
          <c:showSerName val="0"/>
          <c:showPercent val="0"/>
          <c:showBubbleSize val="0"/>
        </c:dLbls>
        <c:gapWidth val="150"/>
        <c:overlap val="100"/>
        <c:axId val="1932165183"/>
        <c:axId val="1932167103"/>
      </c:barChart>
      <c:catAx>
        <c:axId val="193216518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32167103"/>
        <c:crosses val="autoZero"/>
        <c:auto val="1"/>
        <c:lblAlgn val="ctr"/>
        <c:lblOffset val="100"/>
        <c:noMultiLvlLbl val="0"/>
      </c:catAx>
      <c:valAx>
        <c:axId val="1932167103"/>
        <c:scaling>
          <c:orientation val="minMax"/>
        </c:scaling>
        <c:delete val="1"/>
        <c:axPos val="b"/>
        <c:numFmt formatCode="General" sourceLinked="1"/>
        <c:majorTickMark val="none"/>
        <c:minorTickMark val="none"/>
        <c:tickLblPos val="nextTo"/>
        <c:crossAx val="193216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(Repaired) (Recovered).xlsx]Page 4!PivotTable2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sng">
                <a:solidFill>
                  <a:sysClr val="windowText" lastClr="000000"/>
                </a:solidFill>
              </a:rPr>
              <a:t>Top N</a:t>
            </a:r>
            <a:r>
              <a:rPr lang="en-US" sz="1600" b="1" i="1" u="sng" baseline="0">
                <a:solidFill>
                  <a:sysClr val="windowText" lastClr="000000"/>
                </a:solidFill>
              </a:rPr>
              <a:t> Number of Movies by Actors</a:t>
            </a:r>
            <a:endParaRPr lang="en-US" sz="1600"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'Page 4'!$B$200</c:f>
              <c:strCache>
                <c:ptCount val="1"/>
                <c:pt idx="0">
                  <c:v>Total</c:v>
                </c:pt>
              </c:strCache>
            </c:strRef>
          </c:tx>
          <c:spPr>
            <a:solidFill>
              <a:srgbClr val="FF99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4'!$A$201:$A$210</c:f>
              <c:strCache>
                <c:ptCount val="9"/>
                <c:pt idx="0">
                  <c:v>Shah Rukh Khan</c:v>
                </c:pt>
                <c:pt idx="1">
                  <c:v>Dulquer Salmaan</c:v>
                </c:pt>
                <c:pt idx="2">
                  <c:v>Shane Nigam</c:v>
                </c:pt>
                <c:pt idx="3">
                  <c:v>Prabhas</c:v>
                </c:pt>
                <c:pt idx="4">
                  <c:v>Tovino Thomas</c:v>
                </c:pt>
                <c:pt idx="5">
                  <c:v>Yash</c:v>
                </c:pt>
                <c:pt idx="6">
                  <c:v>Vijay</c:v>
                </c:pt>
                <c:pt idx="7">
                  <c:v>Mohanlal</c:v>
                </c:pt>
                <c:pt idx="8">
                  <c:v>Fahadh Faasil</c:v>
                </c:pt>
              </c:strCache>
            </c:strRef>
          </c:cat>
          <c:val>
            <c:numRef>
              <c:f>'Page 4'!$B$201:$B$210</c:f>
              <c:numCache>
                <c:formatCode>General</c:formatCode>
                <c:ptCount val="9"/>
                <c:pt idx="0">
                  <c:v>2</c:v>
                </c:pt>
                <c:pt idx="1">
                  <c:v>2</c:v>
                </c:pt>
                <c:pt idx="2">
                  <c:v>2</c:v>
                </c:pt>
                <c:pt idx="3">
                  <c:v>2</c:v>
                </c:pt>
                <c:pt idx="4">
                  <c:v>2</c:v>
                </c:pt>
                <c:pt idx="5">
                  <c:v>2</c:v>
                </c:pt>
                <c:pt idx="6">
                  <c:v>2</c:v>
                </c:pt>
                <c:pt idx="7">
                  <c:v>3</c:v>
                </c:pt>
                <c:pt idx="8">
                  <c:v>4</c:v>
                </c:pt>
              </c:numCache>
            </c:numRef>
          </c:val>
          <c:extLst>
            <c:ext xmlns:c16="http://schemas.microsoft.com/office/drawing/2014/chart" uri="{C3380CC4-5D6E-409C-BE32-E72D297353CC}">
              <c16:uniqueId val="{00000000-AFCE-4751-BCE2-0D176EE29D9F}"/>
            </c:ext>
          </c:extLst>
        </c:ser>
        <c:dLbls>
          <c:dLblPos val="ctr"/>
          <c:showLegendKey val="0"/>
          <c:showVal val="1"/>
          <c:showCatName val="0"/>
          <c:showSerName val="0"/>
          <c:showPercent val="0"/>
          <c:showBubbleSize val="0"/>
        </c:dLbls>
        <c:gapWidth val="150"/>
        <c:overlap val="100"/>
        <c:axId val="354146352"/>
        <c:axId val="354144432"/>
      </c:barChart>
      <c:catAx>
        <c:axId val="354146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354144432"/>
        <c:crosses val="autoZero"/>
        <c:auto val="1"/>
        <c:lblAlgn val="ctr"/>
        <c:lblOffset val="100"/>
        <c:noMultiLvlLbl val="0"/>
      </c:catAx>
      <c:valAx>
        <c:axId val="354144432"/>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Count of Movies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354146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(Repaired) (Recovered).xlsx]Page 4!PivotTable3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Actors success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'Page 4'!$B$140</c:f>
              <c:strCache>
                <c:ptCount val="1"/>
                <c:pt idx="0">
                  <c:v>Total</c:v>
                </c:pt>
              </c:strCache>
            </c:strRef>
          </c:tx>
          <c:spPr>
            <a:solidFill>
              <a:srgbClr val="FF99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4'!$A$141:$A$153</c:f>
              <c:strCache>
                <c:ptCount val="12"/>
                <c:pt idx="0">
                  <c:v>Katrina</c:v>
                </c:pt>
                <c:pt idx="1">
                  <c:v>Salman Khan</c:v>
                </c:pt>
                <c:pt idx="2">
                  <c:v>Dulquer Salmaan</c:v>
                </c:pt>
                <c:pt idx="3">
                  <c:v>Fahadh Faasil</c:v>
                </c:pt>
                <c:pt idx="4">
                  <c:v>Prithviraj Sukumaran</c:v>
                </c:pt>
                <c:pt idx="5">
                  <c:v>Rana</c:v>
                </c:pt>
                <c:pt idx="6">
                  <c:v>Ajay Devgn</c:v>
                </c:pt>
                <c:pt idx="7">
                  <c:v>Ranbir Kapoor</c:v>
                </c:pt>
                <c:pt idx="8">
                  <c:v>Ram Charan</c:v>
                </c:pt>
                <c:pt idx="9">
                  <c:v>Rashmika</c:v>
                </c:pt>
                <c:pt idx="10">
                  <c:v>Fatima</c:v>
                </c:pt>
                <c:pt idx="11">
                  <c:v>Jr Ntr</c:v>
                </c:pt>
              </c:strCache>
            </c:strRef>
          </c:cat>
          <c:val>
            <c:numRef>
              <c:f>'Page 4'!$B$141:$B$153</c:f>
              <c:numCache>
                <c:formatCode>0.00%</c:formatCode>
                <c:ptCount val="12"/>
                <c:pt idx="0">
                  <c:v>0</c:v>
                </c:pt>
                <c:pt idx="1">
                  <c:v>0</c:v>
                </c:pt>
                <c:pt idx="2">
                  <c:v>0.5</c:v>
                </c:pt>
                <c:pt idx="3">
                  <c:v>0.75</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0-CA2E-456D-A9F8-F5DAF7D1AE5F}"/>
            </c:ext>
          </c:extLst>
        </c:ser>
        <c:dLbls>
          <c:dLblPos val="outEnd"/>
          <c:showLegendKey val="0"/>
          <c:showVal val="1"/>
          <c:showCatName val="0"/>
          <c:showSerName val="0"/>
          <c:showPercent val="0"/>
          <c:showBubbleSize val="0"/>
        </c:dLbls>
        <c:gapWidth val="182"/>
        <c:axId val="134674128"/>
        <c:axId val="134674608"/>
      </c:barChart>
      <c:catAx>
        <c:axId val="134674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4674608"/>
        <c:crosses val="autoZero"/>
        <c:auto val="1"/>
        <c:lblAlgn val="ctr"/>
        <c:lblOffset val="100"/>
        <c:noMultiLvlLbl val="0"/>
      </c:catAx>
      <c:valAx>
        <c:axId val="1346746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a:defRPr sz="1000" b="0" i="0" u="none" strike="noStrike" kern="1200" baseline="0">
                    <a:solidFill>
                      <a:sysClr val="windowText" lastClr="000000"/>
                    </a:solidFill>
                    <a:latin typeface="+mn-lt"/>
                    <a:ea typeface="+mn-ea"/>
                    <a:cs typeface="+mn-cs"/>
                  </a:defRPr>
                </a:pPr>
                <a:r>
                  <a:rPr lang="en-IN" b="1">
                    <a:solidFill>
                      <a:sysClr val="windowText" lastClr="000000"/>
                    </a:solidFill>
                  </a:rPr>
                  <a:t>Success Rate (%)</a:t>
                </a:r>
              </a:p>
            </c:rich>
          </c:tx>
          <c:overlay val="0"/>
          <c:spPr>
            <a:noFill/>
            <a:ln>
              <a:noFill/>
            </a:ln>
            <a:effectLst/>
          </c:spPr>
          <c:txPr>
            <a:bodyPr rot="0" spcFirstLastPara="1" vertOverflow="ellipsis" vert="horz" wrap="square" anchor="ctr" anchorCtr="1"/>
            <a:lstStyle/>
            <a:p>
              <a:pPr algn="ctr">
                <a:defRPr sz="1000" b="0" i="0" u="none" strike="noStrike" kern="1200" baseline="0">
                  <a:solidFill>
                    <a:sysClr val="windowText" lastClr="000000"/>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3467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(Repaired) (Recovered).xlsx]Page 5!PivotTable28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sng">
                <a:solidFill>
                  <a:schemeClr val="tx1"/>
                </a:solidFill>
              </a:rPr>
              <a:t>Genre Analysis (Crores)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path path="circle">
              <a:fillToRect l="50000" t="50000" r="50000" b="50000"/>
            </a:path>
            <a:tileRect/>
          </a:gra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path path="circle">
              <a:fillToRect l="50000" t="50000" r="50000" b="50000"/>
            </a:path>
            <a:tileRect/>
          </a:gradFill>
          <a:ln>
            <a:noFill/>
          </a:ln>
          <a:effectLst/>
          <a:sp3d/>
        </c:spPr>
        <c:dLbl>
          <c:idx val="0"/>
          <c:layout>
            <c:manualLayout>
              <c:x val="8.5910652920962206E-3"/>
              <c:y val="-0.1066666666666666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path path="circle">
              <a:fillToRect l="50000" t="50000" r="50000" b="50000"/>
            </a:path>
            <a:tileRect/>
          </a:gradFill>
          <a:ln>
            <a:noFill/>
          </a:ln>
          <a:effectLst/>
          <a:sp3d/>
        </c:spPr>
        <c:dLbl>
          <c:idx val="0"/>
          <c:layout>
            <c:manualLayout>
              <c:x val="0.12199312714776632"/>
              <c:y val="-0.110476190476190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path path="circle">
              <a:fillToRect l="50000" t="50000" r="50000" b="50000"/>
            </a:path>
            <a:tileRect/>
          </a:gradFill>
          <a:ln>
            <a:noFill/>
          </a:ln>
          <a:effectLst/>
          <a:sp3d/>
        </c:spPr>
        <c:dLbl>
          <c:idx val="0"/>
          <c:layout>
            <c:manualLayout>
              <c:x val="5.8419243986254296E-2"/>
              <c:y val="-3.809523809523809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path path="circle">
              <a:fillToRect l="50000" t="50000" r="50000" b="50000"/>
            </a:path>
            <a:tileRect/>
          </a:gradFill>
          <a:ln>
            <a:noFill/>
          </a:ln>
          <a:effectLst/>
          <a:sp3d/>
        </c:spPr>
        <c:dLbl>
          <c:idx val="0"/>
          <c:layout>
            <c:manualLayout>
              <c:x val="0.12027491408934708"/>
              <c:y val="-3.8095238095238793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path path="circle">
              <a:fillToRect l="50000" t="50000" r="50000" b="50000"/>
            </a:path>
            <a:tileRect/>
          </a:gradFill>
          <a:ln>
            <a:noFill/>
          </a:ln>
          <a:effectLst/>
          <a:sp3d/>
        </c:spPr>
        <c:dLbl>
          <c:idx val="0"/>
          <c:layout>
            <c:manualLayout>
              <c:x val="0.21305841924398619"/>
              <c:y val="7.61904761904747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path path="circle">
              <a:fillToRect l="50000" t="50000" r="50000" b="50000"/>
            </a:path>
            <a:tileRect/>
          </a:gradFill>
          <a:ln>
            <a:noFill/>
          </a:ln>
          <a:effectLst/>
          <a:sp3d/>
        </c:spPr>
        <c:dLbl>
          <c:idx val="0"/>
          <c:layout>
            <c:manualLayout>
              <c:x val="0.11512027491408931"/>
              <c:y val="-3.42857142857143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path path="circle">
              <a:fillToRect l="50000" t="50000" r="50000" b="50000"/>
            </a:path>
            <a:tileRect/>
          </a:gradFill>
          <a:ln>
            <a:noFill/>
          </a:ln>
          <a:effectLst/>
          <a:sp3d/>
        </c:spPr>
        <c:dLbl>
          <c:idx val="0"/>
          <c:layout>
            <c:manualLayout>
              <c:x val="0.1872852233676976"/>
              <c:y val="3.4920231519140554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path path="circle">
              <a:fillToRect l="50000" t="50000" r="50000" b="50000"/>
            </a:path>
            <a:tileRect/>
          </a:gradFill>
          <a:ln>
            <a:noFill/>
          </a:ln>
          <a:effectLst/>
          <a:sp3d/>
        </c:spPr>
        <c:dLbl>
          <c:idx val="0"/>
          <c:layout>
            <c:manualLayout>
              <c:x val="8.4192439862542962E-2"/>
              <c:y val="-2.28571428571428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path path="circle">
              <a:fillToRect l="50000" t="50000" r="50000" b="50000"/>
            </a:path>
            <a:tileRect/>
          </a:gra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path path="circle">
              <a:fillToRect l="50000" t="50000" r="50000" b="50000"/>
            </a:path>
            <a:tileRect/>
          </a:gradFill>
          <a:ln>
            <a:noFill/>
          </a:ln>
          <a:effectLst/>
          <a:sp3d/>
        </c:spPr>
        <c:dLbl>
          <c:idx val="0"/>
          <c:layout>
            <c:manualLayout>
              <c:x val="8.5910652920962206E-3"/>
              <c:y val="-0.1066666666666666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path path="circle">
              <a:fillToRect l="50000" t="50000" r="50000" b="50000"/>
            </a:path>
            <a:tileRect/>
          </a:gradFill>
          <a:ln>
            <a:noFill/>
          </a:ln>
          <a:effectLst/>
          <a:sp3d/>
        </c:spPr>
        <c:dLbl>
          <c:idx val="0"/>
          <c:layout>
            <c:manualLayout>
              <c:x val="0.12199312714776632"/>
              <c:y val="-0.110476190476190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path path="circle">
              <a:fillToRect l="50000" t="50000" r="50000" b="50000"/>
            </a:path>
            <a:tileRect/>
          </a:gradFill>
          <a:ln>
            <a:noFill/>
          </a:ln>
          <a:effectLst/>
          <a:sp3d/>
        </c:spPr>
        <c:dLbl>
          <c:idx val="0"/>
          <c:layout>
            <c:manualLayout>
              <c:x val="5.8419243986254296E-2"/>
              <c:y val="-3.809523809523809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path path="circle">
              <a:fillToRect l="50000" t="50000" r="50000" b="50000"/>
            </a:path>
            <a:tileRect/>
          </a:gradFill>
          <a:ln>
            <a:noFill/>
          </a:ln>
          <a:effectLst/>
          <a:sp3d/>
        </c:spPr>
        <c:dLbl>
          <c:idx val="0"/>
          <c:layout>
            <c:manualLayout>
              <c:x val="0.12027491408934708"/>
              <c:y val="-3.8095238095238793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path path="circle">
              <a:fillToRect l="50000" t="50000" r="50000" b="50000"/>
            </a:path>
            <a:tileRect/>
          </a:gradFill>
          <a:ln>
            <a:noFill/>
          </a:ln>
          <a:effectLst/>
          <a:sp3d/>
        </c:spPr>
        <c:dLbl>
          <c:idx val="0"/>
          <c:layout>
            <c:manualLayout>
              <c:x val="0.21305841924398619"/>
              <c:y val="7.61904761904747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path path="circle">
              <a:fillToRect l="50000" t="50000" r="50000" b="50000"/>
            </a:path>
            <a:tileRect/>
          </a:gradFill>
          <a:ln>
            <a:noFill/>
          </a:ln>
          <a:effectLst/>
          <a:sp3d/>
        </c:spPr>
        <c:dLbl>
          <c:idx val="0"/>
          <c:layout>
            <c:manualLayout>
              <c:x val="0.11512027491408931"/>
              <c:y val="-3.42857142857143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path path="circle">
              <a:fillToRect l="50000" t="50000" r="50000" b="50000"/>
            </a:path>
            <a:tileRect/>
          </a:gradFill>
          <a:ln>
            <a:noFill/>
          </a:ln>
          <a:effectLst/>
          <a:sp3d/>
        </c:spPr>
        <c:dLbl>
          <c:idx val="0"/>
          <c:layout>
            <c:manualLayout>
              <c:x val="0.1872852233676976"/>
              <c:y val="3.4920231519140554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path path="circle">
              <a:fillToRect l="50000" t="50000" r="50000" b="50000"/>
            </a:path>
            <a:tileRect/>
          </a:gradFill>
          <a:ln>
            <a:noFill/>
          </a:ln>
          <a:effectLst/>
          <a:sp3d/>
        </c:spPr>
        <c:dLbl>
          <c:idx val="0"/>
          <c:layout>
            <c:manualLayout>
              <c:x val="8.4192439862542962E-2"/>
              <c:y val="-2.28571428571428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'Page 5'!$B$3</c:f>
              <c:strCache>
                <c:ptCount val="1"/>
                <c:pt idx="0">
                  <c:v>Total</c:v>
                </c:pt>
              </c:strCache>
            </c:strRef>
          </c:tx>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path path="circle">
                <a:fillToRect l="50000" t="50000" r="50000" b="50000"/>
              </a:path>
              <a:tileRect/>
            </a:gradFill>
            <a:ln>
              <a:noFill/>
            </a:ln>
            <a:effectLst/>
            <a:sp3d/>
          </c:spPr>
          <c:invertIfNegative val="0"/>
          <c:dPt>
            <c:idx val="0"/>
            <c:invertIfNegative val="0"/>
            <c:bubble3D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path path="circle">
                  <a:fillToRect l="50000" t="50000" r="50000" b="50000"/>
                </a:path>
                <a:tileRect/>
              </a:gradFill>
              <a:ln>
                <a:noFill/>
              </a:ln>
              <a:effectLst/>
              <a:sp3d/>
            </c:spPr>
            <c:extLst>
              <c:ext xmlns:c16="http://schemas.microsoft.com/office/drawing/2014/chart" uri="{C3380CC4-5D6E-409C-BE32-E72D297353CC}">
                <c16:uniqueId val="{00000001-3B16-49F1-B536-385C22A38C17}"/>
              </c:ext>
            </c:extLst>
          </c:dPt>
          <c:dPt>
            <c:idx val="1"/>
            <c:invertIfNegative val="0"/>
            <c:bubble3D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path path="circle">
                  <a:fillToRect l="50000" t="50000" r="50000" b="50000"/>
                </a:path>
                <a:tileRect/>
              </a:gradFill>
              <a:ln>
                <a:noFill/>
              </a:ln>
              <a:effectLst/>
              <a:sp3d/>
            </c:spPr>
            <c:extLst>
              <c:ext xmlns:c16="http://schemas.microsoft.com/office/drawing/2014/chart" uri="{C3380CC4-5D6E-409C-BE32-E72D297353CC}">
                <c16:uniqueId val="{00000003-3B16-49F1-B536-385C22A38C17}"/>
              </c:ext>
            </c:extLst>
          </c:dPt>
          <c:dPt>
            <c:idx val="2"/>
            <c:invertIfNegative val="0"/>
            <c:bubble3D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path path="circle">
                  <a:fillToRect l="50000" t="50000" r="50000" b="50000"/>
                </a:path>
                <a:tileRect/>
              </a:gradFill>
              <a:ln>
                <a:noFill/>
              </a:ln>
              <a:effectLst/>
              <a:sp3d/>
            </c:spPr>
            <c:extLst>
              <c:ext xmlns:c16="http://schemas.microsoft.com/office/drawing/2014/chart" uri="{C3380CC4-5D6E-409C-BE32-E72D297353CC}">
                <c16:uniqueId val="{00000005-3B16-49F1-B536-385C22A38C17}"/>
              </c:ext>
            </c:extLst>
          </c:dPt>
          <c:dPt>
            <c:idx val="3"/>
            <c:invertIfNegative val="0"/>
            <c:bubble3D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path path="circle">
                  <a:fillToRect l="50000" t="50000" r="50000" b="50000"/>
                </a:path>
                <a:tileRect/>
              </a:gradFill>
              <a:ln>
                <a:noFill/>
              </a:ln>
              <a:effectLst/>
              <a:sp3d/>
            </c:spPr>
            <c:extLst>
              <c:ext xmlns:c16="http://schemas.microsoft.com/office/drawing/2014/chart" uri="{C3380CC4-5D6E-409C-BE32-E72D297353CC}">
                <c16:uniqueId val="{00000007-3B16-49F1-B536-385C22A38C17}"/>
              </c:ext>
            </c:extLst>
          </c:dPt>
          <c:dPt>
            <c:idx val="4"/>
            <c:invertIfNegative val="0"/>
            <c:bubble3D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path path="circle">
                  <a:fillToRect l="50000" t="50000" r="50000" b="50000"/>
                </a:path>
                <a:tileRect/>
              </a:gradFill>
              <a:ln>
                <a:noFill/>
              </a:ln>
              <a:effectLst/>
              <a:sp3d/>
            </c:spPr>
            <c:extLst>
              <c:ext xmlns:c16="http://schemas.microsoft.com/office/drawing/2014/chart" uri="{C3380CC4-5D6E-409C-BE32-E72D297353CC}">
                <c16:uniqueId val="{00000009-3B16-49F1-B536-385C22A38C17}"/>
              </c:ext>
            </c:extLst>
          </c:dPt>
          <c:dPt>
            <c:idx val="5"/>
            <c:invertIfNegative val="0"/>
            <c:bubble3D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path path="circle">
                  <a:fillToRect l="50000" t="50000" r="50000" b="50000"/>
                </a:path>
                <a:tileRect/>
              </a:gradFill>
              <a:ln>
                <a:noFill/>
              </a:ln>
              <a:effectLst/>
              <a:sp3d/>
            </c:spPr>
            <c:extLst>
              <c:ext xmlns:c16="http://schemas.microsoft.com/office/drawing/2014/chart" uri="{C3380CC4-5D6E-409C-BE32-E72D297353CC}">
                <c16:uniqueId val="{0000000B-3B16-49F1-B536-385C22A38C17}"/>
              </c:ext>
            </c:extLst>
          </c:dPt>
          <c:dPt>
            <c:idx val="6"/>
            <c:invertIfNegative val="0"/>
            <c:bubble3D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path path="circle">
                  <a:fillToRect l="50000" t="50000" r="50000" b="50000"/>
                </a:path>
                <a:tileRect/>
              </a:gradFill>
              <a:ln>
                <a:noFill/>
              </a:ln>
              <a:effectLst/>
              <a:sp3d/>
            </c:spPr>
            <c:extLst>
              <c:ext xmlns:c16="http://schemas.microsoft.com/office/drawing/2014/chart" uri="{C3380CC4-5D6E-409C-BE32-E72D297353CC}">
                <c16:uniqueId val="{0000000D-3B16-49F1-B536-385C22A38C17}"/>
              </c:ext>
            </c:extLst>
          </c:dPt>
          <c:dPt>
            <c:idx val="7"/>
            <c:invertIfNegative val="0"/>
            <c:bubble3D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path path="circle">
                  <a:fillToRect l="50000" t="50000" r="50000" b="50000"/>
                </a:path>
                <a:tileRect/>
              </a:gradFill>
              <a:ln>
                <a:noFill/>
              </a:ln>
              <a:effectLst/>
              <a:sp3d/>
            </c:spPr>
            <c:extLst>
              <c:ext xmlns:c16="http://schemas.microsoft.com/office/drawing/2014/chart" uri="{C3380CC4-5D6E-409C-BE32-E72D297353CC}">
                <c16:uniqueId val="{0000000F-3B16-49F1-B536-385C22A38C17}"/>
              </c:ext>
            </c:extLst>
          </c:dPt>
          <c:dLbls>
            <c:dLbl>
              <c:idx val="0"/>
              <c:layout>
                <c:manualLayout>
                  <c:x val="8.5910652920962206E-3"/>
                  <c:y val="-0.1066666666666666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16-49F1-B536-385C22A38C17}"/>
                </c:ext>
              </c:extLst>
            </c:dLbl>
            <c:dLbl>
              <c:idx val="1"/>
              <c:layout>
                <c:manualLayout>
                  <c:x val="0.12199312714776632"/>
                  <c:y val="-0.110476190476190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16-49F1-B536-385C22A38C17}"/>
                </c:ext>
              </c:extLst>
            </c:dLbl>
            <c:dLbl>
              <c:idx val="2"/>
              <c:layout>
                <c:manualLayout>
                  <c:x val="5.8419243986254296E-2"/>
                  <c:y val="-3.8095238095238095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16-49F1-B536-385C22A38C17}"/>
                </c:ext>
              </c:extLst>
            </c:dLbl>
            <c:dLbl>
              <c:idx val="3"/>
              <c:layout>
                <c:manualLayout>
                  <c:x val="0.12027491408934708"/>
                  <c:y val="-3.8095238095238793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16-49F1-B536-385C22A38C17}"/>
                </c:ext>
              </c:extLst>
            </c:dLbl>
            <c:dLbl>
              <c:idx val="4"/>
              <c:layout>
                <c:manualLayout>
                  <c:x val="0.21305841924398619"/>
                  <c:y val="7.6190476190474794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16-49F1-B536-385C22A38C17}"/>
                </c:ext>
              </c:extLst>
            </c:dLbl>
            <c:dLbl>
              <c:idx val="5"/>
              <c:layout>
                <c:manualLayout>
                  <c:x val="0.11512027491408931"/>
                  <c:y val="-3.428571428571435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16-49F1-B536-385C22A38C17}"/>
                </c:ext>
              </c:extLst>
            </c:dLbl>
            <c:dLbl>
              <c:idx val="6"/>
              <c:layout>
                <c:manualLayout>
                  <c:x val="0.1872852233676976"/>
                  <c:y val="3.4920231519140554E-1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16-49F1-B536-385C22A38C17}"/>
                </c:ext>
              </c:extLst>
            </c:dLbl>
            <c:dLbl>
              <c:idx val="7"/>
              <c:layout>
                <c:manualLayout>
                  <c:x val="8.4192439862542962E-2"/>
                  <c:y val="-2.285714285714285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16-49F1-B536-385C22A38C1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'Page 5'!$A$4:$A$12</c:f>
              <c:strCache>
                <c:ptCount val="8"/>
                <c:pt idx="0">
                  <c:v>Action</c:v>
                </c:pt>
                <c:pt idx="1">
                  <c:v>Action,Drama</c:v>
                </c:pt>
                <c:pt idx="2">
                  <c:v>Comedy,Action</c:v>
                </c:pt>
                <c:pt idx="3">
                  <c:v>Crime,Drama</c:v>
                </c:pt>
                <c:pt idx="4">
                  <c:v>Drama</c:v>
                </c:pt>
                <c:pt idx="5">
                  <c:v>Romance,Drama</c:v>
                </c:pt>
                <c:pt idx="6">
                  <c:v>Superhero,Drama</c:v>
                </c:pt>
                <c:pt idx="7">
                  <c:v>Thriller</c:v>
                </c:pt>
              </c:strCache>
            </c:strRef>
          </c:cat>
          <c:val>
            <c:numRef>
              <c:f>'Page 5'!$B$4:$B$12</c:f>
              <c:numCache>
                <c:formatCode>General</c:formatCode>
                <c:ptCount val="8"/>
                <c:pt idx="0">
                  <c:v>8535</c:v>
                </c:pt>
                <c:pt idx="1">
                  <c:v>2915</c:v>
                </c:pt>
                <c:pt idx="2">
                  <c:v>150</c:v>
                </c:pt>
                <c:pt idx="3">
                  <c:v>100</c:v>
                </c:pt>
                <c:pt idx="4">
                  <c:v>2810</c:v>
                </c:pt>
                <c:pt idx="5">
                  <c:v>155</c:v>
                </c:pt>
                <c:pt idx="6">
                  <c:v>70</c:v>
                </c:pt>
                <c:pt idx="7">
                  <c:v>650</c:v>
                </c:pt>
              </c:numCache>
            </c:numRef>
          </c:val>
          <c:extLst>
            <c:ext xmlns:c16="http://schemas.microsoft.com/office/drawing/2014/chart" uri="{C3380CC4-5D6E-409C-BE32-E72D297353CC}">
              <c16:uniqueId val="{00000010-3B16-49F1-B536-385C22A38C17}"/>
            </c:ext>
          </c:extLst>
        </c:ser>
        <c:dLbls>
          <c:showLegendKey val="0"/>
          <c:showVal val="0"/>
          <c:showCatName val="0"/>
          <c:showSerName val="0"/>
          <c:showPercent val="0"/>
          <c:showBubbleSize val="0"/>
        </c:dLbls>
        <c:gapWidth val="150"/>
        <c:shape val="box"/>
        <c:axId val="1732290143"/>
        <c:axId val="1732291103"/>
        <c:axId val="0"/>
      </c:bar3DChart>
      <c:catAx>
        <c:axId val="17322901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732291103"/>
        <c:crosses val="autoZero"/>
        <c:auto val="1"/>
        <c:lblAlgn val="ctr"/>
        <c:lblOffset val="100"/>
        <c:noMultiLvlLbl val="0"/>
      </c:catAx>
      <c:valAx>
        <c:axId val="1732291103"/>
        <c:scaling>
          <c:orientation val="minMax"/>
        </c:scaling>
        <c:delete val="1"/>
        <c:axPos val="b"/>
        <c:numFmt formatCode="General" sourceLinked="1"/>
        <c:majorTickMark val="none"/>
        <c:minorTickMark val="none"/>
        <c:tickLblPos val="nextTo"/>
        <c:crossAx val="173229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(Repaired) (Recovered).xlsx]Page 5!PivotTable29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1" u="sng">
                <a:solidFill>
                  <a:schemeClr val="tx1"/>
                </a:solidFill>
              </a:rPr>
              <a:t>Language Vs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'Page 5'!$B$29:$B$30</c:f>
              <c:strCache>
                <c:ptCount val="1"/>
                <c:pt idx="0">
                  <c:v>Hindi</c:v>
                </c:pt>
              </c:strCache>
            </c:strRef>
          </c:tx>
          <c:spPr>
            <a:ln w="28575" cap="rnd">
              <a:solidFill>
                <a:schemeClr val="accent1"/>
              </a:solidFill>
              <a:round/>
            </a:ln>
            <a:effectLst/>
          </c:spPr>
          <c:marker>
            <c:symbol val="none"/>
          </c:marker>
          <c:cat>
            <c:strRef>
              <c:f>'Page 5'!$A$31:$A$38</c:f>
              <c:strCache>
                <c:ptCount val="8"/>
                <c:pt idx="0">
                  <c:v>2015</c:v>
                </c:pt>
                <c:pt idx="1">
                  <c:v>2016</c:v>
                </c:pt>
                <c:pt idx="2">
                  <c:v>2018</c:v>
                </c:pt>
                <c:pt idx="3">
                  <c:v>2019</c:v>
                </c:pt>
                <c:pt idx="4">
                  <c:v>2021</c:v>
                </c:pt>
                <c:pt idx="5">
                  <c:v>2022</c:v>
                </c:pt>
                <c:pt idx="6">
                  <c:v>2023</c:v>
                </c:pt>
                <c:pt idx="7">
                  <c:v>2024</c:v>
                </c:pt>
              </c:strCache>
            </c:strRef>
          </c:cat>
          <c:val>
            <c:numRef>
              <c:f>'Page 5'!$B$31:$B$38</c:f>
              <c:numCache>
                <c:formatCode>General</c:formatCode>
                <c:ptCount val="8"/>
                <c:pt idx="1">
                  <c:v>2000</c:v>
                </c:pt>
                <c:pt idx="3">
                  <c:v>475</c:v>
                </c:pt>
                <c:pt idx="5">
                  <c:v>350</c:v>
                </c:pt>
                <c:pt idx="6">
                  <c:v>3500</c:v>
                </c:pt>
              </c:numCache>
            </c:numRef>
          </c:val>
          <c:smooth val="0"/>
          <c:extLst>
            <c:ext xmlns:c16="http://schemas.microsoft.com/office/drawing/2014/chart" uri="{C3380CC4-5D6E-409C-BE32-E72D297353CC}">
              <c16:uniqueId val="{00000000-E532-4CC5-84EA-4E1577D8B172}"/>
            </c:ext>
          </c:extLst>
        </c:ser>
        <c:ser>
          <c:idx val="1"/>
          <c:order val="1"/>
          <c:tx>
            <c:strRef>
              <c:f>'Page 5'!$C$29:$C$30</c:f>
              <c:strCache>
                <c:ptCount val="1"/>
                <c:pt idx="0">
                  <c:v>Kannada</c:v>
                </c:pt>
              </c:strCache>
            </c:strRef>
          </c:tx>
          <c:spPr>
            <a:ln w="28575" cap="rnd">
              <a:solidFill>
                <a:schemeClr val="accent2"/>
              </a:solidFill>
              <a:round/>
            </a:ln>
            <a:effectLst/>
          </c:spPr>
          <c:marker>
            <c:symbol val="none"/>
          </c:marker>
          <c:cat>
            <c:strRef>
              <c:f>'Page 5'!$A$31:$A$38</c:f>
              <c:strCache>
                <c:ptCount val="8"/>
                <c:pt idx="0">
                  <c:v>2015</c:v>
                </c:pt>
                <c:pt idx="1">
                  <c:v>2016</c:v>
                </c:pt>
                <c:pt idx="2">
                  <c:v>2018</c:v>
                </c:pt>
                <c:pt idx="3">
                  <c:v>2019</c:v>
                </c:pt>
                <c:pt idx="4">
                  <c:v>2021</c:v>
                </c:pt>
                <c:pt idx="5">
                  <c:v>2022</c:v>
                </c:pt>
                <c:pt idx="6">
                  <c:v>2023</c:v>
                </c:pt>
                <c:pt idx="7">
                  <c:v>2024</c:v>
                </c:pt>
              </c:strCache>
            </c:strRef>
          </c:cat>
          <c:val>
            <c:numRef>
              <c:f>'Page 5'!$C$31:$C$38</c:f>
              <c:numCache>
                <c:formatCode>General</c:formatCode>
                <c:ptCount val="8"/>
                <c:pt idx="2">
                  <c:v>400</c:v>
                </c:pt>
                <c:pt idx="5">
                  <c:v>1550</c:v>
                </c:pt>
              </c:numCache>
            </c:numRef>
          </c:val>
          <c:smooth val="0"/>
          <c:extLst>
            <c:ext xmlns:c16="http://schemas.microsoft.com/office/drawing/2014/chart" uri="{C3380CC4-5D6E-409C-BE32-E72D297353CC}">
              <c16:uniqueId val="{00000001-E532-4CC5-84EA-4E1577D8B172}"/>
            </c:ext>
          </c:extLst>
        </c:ser>
        <c:ser>
          <c:idx val="2"/>
          <c:order val="2"/>
          <c:tx>
            <c:strRef>
              <c:f>'Page 5'!$D$29:$D$30</c:f>
              <c:strCache>
                <c:ptCount val="1"/>
                <c:pt idx="0">
                  <c:v>Malayalam</c:v>
                </c:pt>
              </c:strCache>
            </c:strRef>
          </c:tx>
          <c:spPr>
            <a:ln w="28575" cap="rnd">
              <a:solidFill>
                <a:schemeClr val="accent3"/>
              </a:solidFill>
              <a:round/>
            </a:ln>
            <a:effectLst/>
          </c:spPr>
          <c:marker>
            <c:symbol val="none"/>
          </c:marker>
          <c:cat>
            <c:strRef>
              <c:f>'Page 5'!$A$31:$A$38</c:f>
              <c:strCache>
                <c:ptCount val="8"/>
                <c:pt idx="0">
                  <c:v>2015</c:v>
                </c:pt>
                <c:pt idx="1">
                  <c:v>2016</c:v>
                </c:pt>
                <c:pt idx="2">
                  <c:v>2018</c:v>
                </c:pt>
                <c:pt idx="3">
                  <c:v>2019</c:v>
                </c:pt>
                <c:pt idx="4">
                  <c:v>2021</c:v>
                </c:pt>
                <c:pt idx="5">
                  <c:v>2022</c:v>
                </c:pt>
                <c:pt idx="6">
                  <c:v>2023</c:v>
                </c:pt>
                <c:pt idx="7">
                  <c:v>2024</c:v>
                </c:pt>
              </c:strCache>
            </c:strRef>
          </c:cat>
          <c:val>
            <c:numRef>
              <c:f>'Page 5'!$D$31:$D$38</c:f>
              <c:numCache>
                <c:formatCode>General</c:formatCode>
                <c:ptCount val="8"/>
                <c:pt idx="0">
                  <c:v>75</c:v>
                </c:pt>
                <c:pt idx="1">
                  <c:v>150</c:v>
                </c:pt>
                <c:pt idx="3">
                  <c:v>335</c:v>
                </c:pt>
                <c:pt idx="4">
                  <c:v>545</c:v>
                </c:pt>
                <c:pt idx="5">
                  <c:v>195</c:v>
                </c:pt>
                <c:pt idx="6">
                  <c:v>420</c:v>
                </c:pt>
                <c:pt idx="7">
                  <c:v>150</c:v>
                </c:pt>
              </c:numCache>
            </c:numRef>
          </c:val>
          <c:smooth val="0"/>
          <c:extLst>
            <c:ext xmlns:c16="http://schemas.microsoft.com/office/drawing/2014/chart" uri="{C3380CC4-5D6E-409C-BE32-E72D297353CC}">
              <c16:uniqueId val="{00000002-E532-4CC5-84EA-4E1577D8B172}"/>
            </c:ext>
          </c:extLst>
        </c:ser>
        <c:ser>
          <c:idx val="3"/>
          <c:order val="3"/>
          <c:tx>
            <c:strRef>
              <c:f>'Page 5'!$E$29:$E$30</c:f>
              <c:strCache>
                <c:ptCount val="1"/>
                <c:pt idx="0">
                  <c:v>Tamil</c:v>
                </c:pt>
              </c:strCache>
            </c:strRef>
          </c:tx>
          <c:spPr>
            <a:ln w="28575" cap="rnd">
              <a:solidFill>
                <a:schemeClr val="accent4"/>
              </a:solidFill>
              <a:round/>
            </a:ln>
            <a:effectLst/>
          </c:spPr>
          <c:marker>
            <c:symbol val="none"/>
          </c:marker>
          <c:cat>
            <c:strRef>
              <c:f>'Page 5'!$A$31:$A$38</c:f>
              <c:strCache>
                <c:ptCount val="8"/>
                <c:pt idx="0">
                  <c:v>2015</c:v>
                </c:pt>
                <c:pt idx="1">
                  <c:v>2016</c:v>
                </c:pt>
                <c:pt idx="2">
                  <c:v>2018</c:v>
                </c:pt>
                <c:pt idx="3">
                  <c:v>2019</c:v>
                </c:pt>
                <c:pt idx="4">
                  <c:v>2021</c:v>
                </c:pt>
                <c:pt idx="5">
                  <c:v>2022</c:v>
                </c:pt>
                <c:pt idx="6">
                  <c:v>2023</c:v>
                </c:pt>
                <c:pt idx="7">
                  <c:v>2024</c:v>
                </c:pt>
              </c:strCache>
            </c:strRef>
          </c:cat>
          <c:val>
            <c:numRef>
              <c:f>'Page 5'!$E$31:$E$38</c:f>
              <c:numCache>
                <c:formatCode>General</c:formatCode>
                <c:ptCount val="8"/>
                <c:pt idx="4">
                  <c:v>350</c:v>
                </c:pt>
                <c:pt idx="5">
                  <c:v>450</c:v>
                </c:pt>
                <c:pt idx="6">
                  <c:v>1200</c:v>
                </c:pt>
              </c:numCache>
            </c:numRef>
          </c:val>
          <c:smooth val="0"/>
          <c:extLst>
            <c:ext xmlns:c16="http://schemas.microsoft.com/office/drawing/2014/chart" uri="{C3380CC4-5D6E-409C-BE32-E72D297353CC}">
              <c16:uniqueId val="{00000003-E532-4CC5-84EA-4E1577D8B172}"/>
            </c:ext>
          </c:extLst>
        </c:ser>
        <c:ser>
          <c:idx val="4"/>
          <c:order val="4"/>
          <c:tx>
            <c:strRef>
              <c:f>'Page 5'!$F$29:$F$30</c:f>
              <c:strCache>
                <c:ptCount val="1"/>
                <c:pt idx="0">
                  <c:v>Telugu</c:v>
                </c:pt>
              </c:strCache>
            </c:strRef>
          </c:tx>
          <c:spPr>
            <a:ln w="28575" cap="rnd">
              <a:solidFill>
                <a:schemeClr val="accent5"/>
              </a:solidFill>
              <a:round/>
            </a:ln>
            <a:effectLst/>
          </c:spPr>
          <c:marker>
            <c:symbol val="none"/>
          </c:marker>
          <c:cat>
            <c:strRef>
              <c:f>'Page 5'!$A$31:$A$38</c:f>
              <c:strCache>
                <c:ptCount val="8"/>
                <c:pt idx="0">
                  <c:v>2015</c:v>
                </c:pt>
                <c:pt idx="1">
                  <c:v>2016</c:v>
                </c:pt>
                <c:pt idx="2">
                  <c:v>2018</c:v>
                </c:pt>
                <c:pt idx="3">
                  <c:v>2019</c:v>
                </c:pt>
                <c:pt idx="4">
                  <c:v>2021</c:v>
                </c:pt>
                <c:pt idx="5">
                  <c:v>2022</c:v>
                </c:pt>
                <c:pt idx="6">
                  <c:v>2023</c:v>
                </c:pt>
                <c:pt idx="7">
                  <c:v>2024</c:v>
                </c:pt>
              </c:strCache>
            </c:strRef>
          </c:cat>
          <c:val>
            <c:numRef>
              <c:f>'Page 5'!$F$31:$F$38</c:f>
              <c:numCache>
                <c:formatCode>General</c:formatCode>
                <c:ptCount val="8"/>
                <c:pt idx="0">
                  <c:v>640</c:v>
                </c:pt>
                <c:pt idx="4">
                  <c:v>500</c:v>
                </c:pt>
                <c:pt idx="5">
                  <c:v>1200</c:v>
                </c:pt>
                <c:pt idx="6">
                  <c:v>900</c:v>
                </c:pt>
              </c:numCache>
            </c:numRef>
          </c:val>
          <c:smooth val="0"/>
          <c:extLst>
            <c:ext xmlns:c16="http://schemas.microsoft.com/office/drawing/2014/chart" uri="{C3380CC4-5D6E-409C-BE32-E72D297353CC}">
              <c16:uniqueId val="{00000004-E532-4CC5-84EA-4E1577D8B172}"/>
            </c:ext>
          </c:extLst>
        </c:ser>
        <c:dLbls>
          <c:showLegendKey val="0"/>
          <c:showVal val="0"/>
          <c:showCatName val="0"/>
          <c:showSerName val="0"/>
          <c:showPercent val="0"/>
          <c:showBubbleSize val="0"/>
        </c:dLbls>
        <c:smooth val="0"/>
        <c:axId val="1925670895"/>
        <c:axId val="1925671855"/>
      </c:lineChart>
      <c:catAx>
        <c:axId val="192567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25671855"/>
        <c:crosses val="autoZero"/>
        <c:auto val="1"/>
        <c:lblAlgn val="ctr"/>
        <c:lblOffset val="100"/>
        <c:noMultiLvlLbl val="0"/>
      </c:catAx>
      <c:valAx>
        <c:axId val="1925671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2567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(Repaired) (Recovered).xlsx]Page 6!PivotTable30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sng">
                <a:solidFill>
                  <a:schemeClr val="tx1"/>
                </a:solidFill>
              </a:rPr>
              <a:t>OTT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dLbl>
          <c:idx val="0"/>
          <c:layout>
            <c:manualLayout>
              <c:x val="1.3875656167979002E-2"/>
              <c:y val="-1.670239136774569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dLbl>
          <c:idx val="0"/>
          <c:layout>
            <c:manualLayout>
              <c:x val="-4.2641404199475062E-2"/>
              <c:y val="-4.141550014581510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layout>
            <c:manualLayout>
              <c:x val="1.3875656167979002E-2"/>
              <c:y val="-1.670239136774569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dLbl>
          <c:idx val="0"/>
          <c:layout>
            <c:manualLayout>
              <c:x val="-4.2641404199475062E-2"/>
              <c:y val="-4.141550014581510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'Page 6'!$B$3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FF0-470F-9532-60E6666F379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FF0-470F-9532-60E6666F379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FF0-470F-9532-60E6666F379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FF0-470F-9532-60E6666F379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FF0-470F-9532-60E6666F379C}"/>
              </c:ext>
            </c:extLst>
          </c:dPt>
          <c:dLbls>
            <c:dLbl>
              <c:idx val="0"/>
              <c:layout>
                <c:manualLayout>
                  <c:x val="1.3875656167979002E-2"/>
                  <c:y val="-1.670239136774569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F0-470F-9532-60E6666F379C}"/>
                </c:ext>
              </c:extLst>
            </c:dLbl>
            <c:dLbl>
              <c:idx val="4"/>
              <c:layout>
                <c:manualLayout>
                  <c:x val="-4.2641404199475062E-2"/>
                  <c:y val="-4.141550014581510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FF0-470F-9532-60E6666F379C}"/>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'Page 6'!$A$4:$A$9</c:f>
              <c:strCache>
                <c:ptCount val="5"/>
                <c:pt idx="0">
                  <c:v>Amazon</c:v>
                </c:pt>
                <c:pt idx="1">
                  <c:v>Hotstar</c:v>
                </c:pt>
                <c:pt idx="2">
                  <c:v>Netflix</c:v>
                </c:pt>
                <c:pt idx="3">
                  <c:v>Prime</c:v>
                </c:pt>
                <c:pt idx="4">
                  <c:v>SonyLiv</c:v>
                </c:pt>
              </c:strCache>
            </c:strRef>
          </c:cat>
          <c:val>
            <c:numRef>
              <c:f>'Page 6'!$B$4:$B$9</c:f>
              <c:numCache>
                <c:formatCode>General</c:formatCode>
                <c:ptCount val="5"/>
                <c:pt idx="0">
                  <c:v>2</c:v>
                </c:pt>
                <c:pt idx="1">
                  <c:v>8</c:v>
                </c:pt>
                <c:pt idx="2">
                  <c:v>10</c:v>
                </c:pt>
                <c:pt idx="3">
                  <c:v>12</c:v>
                </c:pt>
                <c:pt idx="4">
                  <c:v>1</c:v>
                </c:pt>
              </c:numCache>
            </c:numRef>
          </c:val>
          <c:extLst>
            <c:ext xmlns:c16="http://schemas.microsoft.com/office/drawing/2014/chart" uri="{C3380CC4-5D6E-409C-BE32-E72D297353CC}">
              <c16:uniqueId val="{0000000A-6FF0-470F-9532-60E6666F379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data id="1">
      <cx:numDim type="val">
        <cx:f>_xlchart.v1.1</cx:f>
      </cx:numDim>
    </cx:data>
  </cx:chartData>
  <cx:chart>
    <cx:title pos="t" align="ctr" overlay="0">
      <cx:tx>
        <cx:txData>
          <cx:v>Days Run</cx:v>
        </cx:txData>
      </cx:tx>
      <cx:txPr>
        <a:bodyPr spcFirstLastPara="1" vertOverflow="ellipsis" horzOverflow="overflow" wrap="square" lIns="0" tIns="0" rIns="0" bIns="0" anchor="ctr" anchorCtr="1"/>
        <a:lstStyle/>
        <a:p>
          <a:pPr algn="ctr" rtl="0">
            <a:defRPr/>
          </a:pPr>
          <a:r>
            <a:rPr lang="en-US" sz="1600" b="1" i="1" u="sng" strike="noStrike" baseline="0">
              <a:solidFill>
                <a:schemeClr val="tx1"/>
              </a:solidFill>
              <a:latin typeface="Calibri" panose="020F0502020204030204"/>
            </a:rPr>
            <a:t>Days Run</a:t>
          </a:r>
        </a:p>
      </cx:txPr>
    </cx:title>
    <cx:plotArea>
      <cx:plotAreaRegion>
        <cx:series layoutId="clusteredColumn" uniqueId="{DF637B25-7204-41D0-A12D-A4355BDF3B56}" formatIdx="0">
          <cx: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13500000" scaled="1"/>
              <a:tileRect/>
            </a:gradFill>
          </cx:spPr>
          <cx:dataLabels>
            <cx:txPr>
              <a:bodyPr spcFirstLastPara="1" vertOverflow="ellipsis" horzOverflow="overflow" wrap="square" lIns="0" tIns="0" rIns="0" bIns="0" anchor="ctr" anchorCtr="1"/>
              <a:lstStyle/>
              <a:p>
                <a:pPr algn="ctr" rtl="0">
                  <a:defRPr sz="1200" b="1">
                    <a:solidFill>
                      <a:schemeClr val="tx1"/>
                    </a:solidFill>
                  </a:defRPr>
                </a:pPr>
                <a:endParaRPr lang="en-US" sz="1200" b="1" i="0" u="none" strike="noStrike" baseline="0">
                  <a:solidFill>
                    <a:schemeClr val="tx1"/>
                  </a:solidFill>
                  <a:latin typeface="Calibri" panose="020F0502020204030204"/>
                </a:endParaRPr>
              </a:p>
            </cx:txPr>
            <cx:visibility seriesName="0" categoryName="0" value="1"/>
          </cx:dataLabels>
          <cx:dataId val="0"/>
          <cx:layoutPr>
            <cx:binning intervalClosed="r"/>
          </cx:layoutPr>
        </cx:series>
        <cx:series layoutId="clusteredColumn" hidden="1" uniqueId="{539CE081-BE54-47A0-8817-918F26380F96}" formatIdx="1">
          <cx:dataLabels>
            <cx:visibility seriesName="0" categoryName="0" value="1"/>
          </cx:dataLabels>
          <cx:dataId val="1"/>
          <cx:layoutPr>
            <cx:binning intervalClosed="r"/>
          </cx:layoutPr>
        </cx:series>
      </cx:plotAreaRegion>
      <cx:axis id="0">
        <cx:catScaling gapWidth="0"/>
        <cx:title>
          <cx:tx>
            <cx:txData>
              <cx:v>Days Bucket</cx:v>
            </cx:txData>
          </cx:tx>
          <cx:txPr>
            <a:bodyPr spcFirstLastPara="1" vertOverflow="ellipsis" horzOverflow="overflow" wrap="square" lIns="0" tIns="0" rIns="0" bIns="0" anchor="ctr" anchorCtr="1"/>
            <a:lstStyle/>
            <a:p>
              <a:pPr algn="ctr" rtl="0">
                <a:defRPr/>
              </a:pPr>
              <a:r>
                <a:rPr lang="en-US" sz="1100" b="1" i="0" u="none" strike="noStrike" baseline="0">
                  <a:solidFill>
                    <a:schemeClr val="tx1"/>
                  </a:solidFill>
                  <a:latin typeface="Calibri" panose="020F0502020204030204"/>
                </a:rPr>
                <a:t>Days Bucket</a:t>
              </a:r>
            </a:p>
          </cx:txPr>
        </cx:title>
        <cx:tickLabels/>
        <cx:txPr>
          <a:bodyPr spcFirstLastPara="1" vertOverflow="ellipsis" horzOverflow="overflow" wrap="square" lIns="0" tIns="0" rIns="0" bIns="0" anchor="ctr" anchorCtr="1"/>
          <a:lstStyle/>
          <a:p>
            <a:pPr algn="ctr" rtl="0">
              <a:defRPr sz="1000" b="1">
                <a:solidFill>
                  <a:schemeClr val="tx1"/>
                </a:solidFill>
              </a:defRPr>
            </a:pPr>
            <a:endParaRPr lang="en-US" sz="1000" b="1" i="0" u="none" strike="noStrike" baseline="0">
              <a:solidFill>
                <a:schemeClr val="tx1"/>
              </a:solidFill>
              <a:latin typeface="Calibri" panose="020F0502020204030204"/>
            </a:endParaRPr>
          </a:p>
        </cx:txPr>
      </cx:axis>
      <cx:axis id="1" hidden="1">
        <cx:valScaling/>
        <cx:title>
          <cx:tx>
            <cx:txData>
              <cx:v>Number of Movies</cx:v>
            </cx:txData>
          </cx:tx>
          <cx:txPr>
            <a:bodyPr spcFirstLastPara="1" vertOverflow="ellipsis" horzOverflow="overflow" wrap="square" lIns="0" tIns="0" rIns="0" bIns="0" anchor="ctr" anchorCtr="1"/>
            <a:lstStyle/>
            <a:p>
              <a:pPr algn="ctr" rtl="0">
                <a:defRPr/>
              </a:pPr>
              <a:r>
                <a:rPr lang="en-US" sz="1100" b="1" i="0" u="none" strike="noStrike" baseline="0">
                  <a:solidFill>
                    <a:schemeClr val="tx1"/>
                  </a:solidFill>
                  <a:latin typeface="Calibri" panose="020F0502020204030204"/>
                </a:rPr>
                <a:t>Number of Movies</a:t>
              </a:r>
            </a:p>
          </cx:txPr>
        </cx:title>
        <cx:tickLabels/>
      </cx:axis>
    </cx:plotArea>
  </cx:chart>
  <cx:spPr>
    <a:ln w="12700">
      <a:solidFill>
        <a:schemeClr val="tx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4.svg"/><Relationship Id="rId3" Type="http://schemas.openxmlformats.org/officeDocument/2006/relationships/chart" Target="../charts/chart5.xml"/><Relationship Id="rId7" Type="http://schemas.openxmlformats.org/officeDocument/2006/relationships/image" Target="../media/image13.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18.svg"/><Relationship Id="rId5" Type="http://schemas.openxmlformats.org/officeDocument/2006/relationships/image" Target="../media/image17.png"/><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image" Target="../media/image14.svg"/><Relationship Id="rId1" Type="http://schemas.openxmlformats.org/officeDocument/2006/relationships/image" Target="../media/image13.png"/></Relationships>
</file>

<file path=xl/drawings/_rels/drawing5.xml.rels><?xml version="1.0" encoding="UTF-8" standalone="yes"?>
<Relationships xmlns="http://schemas.openxmlformats.org/package/2006/relationships"><Relationship Id="rId2" Type="http://schemas.openxmlformats.org/officeDocument/2006/relationships/image" Target="../media/image16.svg"/><Relationship Id="rId1" Type="http://schemas.openxmlformats.org/officeDocument/2006/relationships/image" Target="../media/image15.png"/></Relationships>
</file>

<file path=xl/drawings/_rels/drawing6.xml.rels><?xml version="1.0" encoding="UTF-8" standalone="yes"?>
<Relationships xmlns="http://schemas.openxmlformats.org/package/2006/relationships"><Relationship Id="rId8" Type="http://schemas.openxmlformats.org/officeDocument/2006/relationships/image" Target="../media/image19.png"/><Relationship Id="rId3" Type="http://schemas.openxmlformats.org/officeDocument/2006/relationships/chart" Target="../charts/chart9.xml"/><Relationship Id="rId7" Type="http://schemas.openxmlformats.org/officeDocument/2006/relationships/image" Target="../media/image16.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5.png"/><Relationship Id="rId5" Type="http://schemas.openxmlformats.org/officeDocument/2006/relationships/image" Target="../media/image14.svg"/><Relationship Id="rId4" Type="http://schemas.openxmlformats.org/officeDocument/2006/relationships/image" Target="../media/image13.png"/><Relationship Id="rId9" Type="http://schemas.openxmlformats.org/officeDocument/2006/relationships/image" Target="../media/image20.svg"/></Relationships>
</file>

<file path=xl/drawings/_rels/drawing7.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image" Target="../media/image22.sv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21.png"/><Relationship Id="rId5" Type="http://schemas.openxmlformats.org/officeDocument/2006/relationships/image" Target="../media/image24.svg"/><Relationship Id="rId4" Type="http://schemas.openxmlformats.org/officeDocument/2006/relationships/image" Target="../media/image23.png"/></Relationships>
</file>

<file path=xl/drawings/_rels/drawing8.xml.rels><?xml version="1.0" encoding="UTF-8" standalone="yes"?>
<Relationships xmlns="http://schemas.openxmlformats.org/package/2006/relationships"><Relationship Id="rId2" Type="http://schemas.openxmlformats.org/officeDocument/2006/relationships/image" Target="../media/image22.svg"/><Relationship Id="rId1" Type="http://schemas.openxmlformats.org/officeDocument/2006/relationships/image" Target="../media/image21.png"/></Relationships>
</file>

<file path=xl/drawings/_rels/drawing9.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image" Target="../media/image28.svg"/><Relationship Id="rId5" Type="http://schemas.openxmlformats.org/officeDocument/2006/relationships/image" Target="../media/image27.png"/><Relationship Id="rId4" Type="http://schemas.openxmlformats.org/officeDocument/2006/relationships/image" Target="../media/image26.svg"/></Relationships>
</file>

<file path=xl/drawings/_rels/drawing10.xml.rels><?xml version="1.0" encoding="UTF-8" standalone="yes"?>
<Relationships xmlns="http://schemas.openxmlformats.org/package/2006/relationships"><Relationship Id="rId3" Type="http://schemas.openxmlformats.org/officeDocument/2006/relationships/image" Target="../media/image29.png"/><Relationship Id="rId2" Type="http://schemas.microsoft.com/office/2014/relationships/chartEx" Target="../charts/chartEx1.xml"/><Relationship Id="rId1" Type="http://schemas.openxmlformats.org/officeDocument/2006/relationships/chart" Target="../charts/chart15.xml"/><Relationship Id="rId6" Type="http://schemas.openxmlformats.org/officeDocument/2006/relationships/image" Target="../media/image32.svg"/><Relationship Id="rId5" Type="http://schemas.openxmlformats.org/officeDocument/2006/relationships/image" Target="../media/image31.png"/><Relationship Id="rId4" Type="http://schemas.openxmlformats.org/officeDocument/2006/relationships/image" Target="../media/image30.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15240</xdr:rowOff>
    </xdr:from>
    <xdr:to>
      <xdr:col>25</xdr:col>
      <xdr:colOff>342900</xdr:colOff>
      <xdr:row>3</xdr:row>
      <xdr:rowOff>152400</xdr:rowOff>
    </xdr:to>
    <xdr:sp macro="" textlink="">
      <xdr:nvSpPr>
        <xdr:cNvPr id="2" name="Rectangle 1">
          <a:extLst>
            <a:ext uri="{FF2B5EF4-FFF2-40B4-BE49-F238E27FC236}">
              <a16:creationId xmlns:a16="http://schemas.microsoft.com/office/drawing/2014/main" id="{2C6FB1DA-4E5C-F265-35CC-0B9CCE397724}"/>
            </a:ext>
          </a:extLst>
        </xdr:cNvPr>
        <xdr:cNvSpPr/>
      </xdr:nvSpPr>
      <xdr:spPr>
        <a:xfrm>
          <a:off x="0" y="15240"/>
          <a:ext cx="15542368" cy="696500"/>
        </a:xfrm>
        <a:prstGeom prst="rect">
          <a:avLst/>
        </a:prstGeom>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22860</xdr:colOff>
      <xdr:row>0</xdr:row>
      <xdr:rowOff>167640</xdr:rowOff>
    </xdr:from>
    <xdr:to>
      <xdr:col>16</xdr:col>
      <xdr:colOff>579120</xdr:colOff>
      <xdr:row>3</xdr:row>
      <xdr:rowOff>38100</xdr:rowOff>
    </xdr:to>
    <xdr:sp macro="" textlink="">
      <xdr:nvSpPr>
        <xdr:cNvPr id="4" name="TextBox 3">
          <a:extLst>
            <a:ext uri="{FF2B5EF4-FFF2-40B4-BE49-F238E27FC236}">
              <a16:creationId xmlns:a16="http://schemas.microsoft.com/office/drawing/2014/main" id="{FF534D29-7F90-D9FB-ED69-69CBD33E9A34}"/>
            </a:ext>
          </a:extLst>
        </xdr:cNvPr>
        <xdr:cNvSpPr txBox="1"/>
      </xdr:nvSpPr>
      <xdr:spPr>
        <a:xfrm>
          <a:off x="4290060" y="167640"/>
          <a:ext cx="604266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i="1">
              <a:solidFill>
                <a:schemeClr val="bg1"/>
              </a:solidFill>
            </a:rPr>
            <a:t>Overview Dashboard</a:t>
          </a:r>
        </a:p>
      </xdr:txBody>
    </xdr:sp>
    <xdr:clientData/>
  </xdr:twoCellAnchor>
  <xdr:twoCellAnchor>
    <xdr:from>
      <xdr:col>0</xdr:col>
      <xdr:colOff>220980</xdr:colOff>
      <xdr:row>27</xdr:row>
      <xdr:rowOff>144780</xdr:rowOff>
    </xdr:from>
    <xdr:to>
      <xdr:col>10</xdr:col>
      <xdr:colOff>419100</xdr:colOff>
      <xdr:row>43</xdr:row>
      <xdr:rowOff>68580</xdr:rowOff>
    </xdr:to>
    <xdr:sp macro="" textlink="">
      <xdr:nvSpPr>
        <xdr:cNvPr id="24" name="Rectangle: Rounded Corners 23">
          <a:extLst>
            <a:ext uri="{FF2B5EF4-FFF2-40B4-BE49-F238E27FC236}">
              <a16:creationId xmlns:a16="http://schemas.microsoft.com/office/drawing/2014/main" id="{92CEC59B-5FE2-4B49-C9B6-8EB30EF3100C}"/>
            </a:ext>
          </a:extLst>
        </xdr:cNvPr>
        <xdr:cNvSpPr/>
      </xdr:nvSpPr>
      <xdr:spPr>
        <a:xfrm>
          <a:off x="220980" y="4970780"/>
          <a:ext cx="6312935" cy="2783652"/>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365760</xdr:colOff>
      <xdr:row>28</xdr:row>
      <xdr:rowOff>152400</xdr:rowOff>
    </xdr:from>
    <xdr:to>
      <xdr:col>10</xdr:col>
      <xdr:colOff>243840</xdr:colOff>
      <xdr:row>42</xdr:row>
      <xdr:rowOff>53340</xdr:rowOff>
    </xdr:to>
    <xdr:graphicFrame macro="">
      <xdr:nvGraphicFramePr>
        <xdr:cNvPr id="25" name="Chart 11">
          <a:extLst>
            <a:ext uri="{FF2B5EF4-FFF2-40B4-BE49-F238E27FC236}">
              <a16:creationId xmlns:a16="http://schemas.microsoft.com/office/drawing/2014/main" id="{2C5AE461-78DE-4138-82CC-ADFBD997F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68580</xdr:colOff>
      <xdr:row>27</xdr:row>
      <xdr:rowOff>167640</xdr:rowOff>
    </xdr:from>
    <xdr:to>
      <xdr:col>22</xdr:col>
      <xdr:colOff>265380</xdr:colOff>
      <xdr:row>43</xdr:row>
      <xdr:rowOff>92760</xdr:rowOff>
    </xdr:to>
    <xdr:sp macro="" textlink="">
      <xdr:nvSpPr>
        <xdr:cNvPr id="26" name="Rectangle: Rounded Corners 25">
          <a:extLst>
            <a:ext uri="{FF2B5EF4-FFF2-40B4-BE49-F238E27FC236}">
              <a16:creationId xmlns:a16="http://schemas.microsoft.com/office/drawing/2014/main" id="{24DD996B-825A-95EA-61F0-CD9ACF60DF84}"/>
            </a:ext>
          </a:extLst>
        </xdr:cNvPr>
        <xdr:cNvSpPr/>
      </xdr:nvSpPr>
      <xdr:spPr>
        <a:xfrm>
          <a:off x="7406358" y="4993640"/>
          <a:ext cx="6311615" cy="278497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281940</xdr:colOff>
      <xdr:row>29</xdr:row>
      <xdr:rowOff>7620</xdr:rowOff>
    </xdr:from>
    <xdr:to>
      <xdr:col>22</xdr:col>
      <xdr:colOff>91440</xdr:colOff>
      <xdr:row>42</xdr:row>
      <xdr:rowOff>91440</xdr:rowOff>
    </xdr:to>
    <xdr:graphicFrame macro="">
      <xdr:nvGraphicFramePr>
        <xdr:cNvPr id="27" name="Chart 13">
          <a:extLst>
            <a:ext uri="{FF2B5EF4-FFF2-40B4-BE49-F238E27FC236}">
              <a16:creationId xmlns:a16="http://schemas.microsoft.com/office/drawing/2014/main" id="{8403FF59-932B-4BFA-B0E3-7EDABBC51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220980</xdr:colOff>
      <xdr:row>14</xdr:row>
      <xdr:rowOff>160748</xdr:rowOff>
    </xdr:from>
    <xdr:to>
      <xdr:col>5</xdr:col>
      <xdr:colOff>363973</xdr:colOff>
      <xdr:row>25</xdr:row>
      <xdr:rowOff>84599</xdr:rowOff>
    </xdr:to>
    <mc:AlternateContent xmlns:mc="http://schemas.openxmlformats.org/markup-compatibility/2006">
      <mc:Choice xmlns:a14="http://schemas.microsoft.com/office/drawing/2010/main" Requires="a14">
        <xdr:graphicFrame macro="">
          <xdr:nvGraphicFramePr>
            <xdr:cNvPr id="38" name="Industry">
              <a:extLst>
                <a:ext uri="{FF2B5EF4-FFF2-40B4-BE49-F238E27FC236}">
                  <a16:creationId xmlns:a16="http://schemas.microsoft.com/office/drawing/2014/main" id="{B0EC30D0-3AAE-84E3-BD8A-688C27E2F408}"/>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dr:sp macro="" textlink="">
          <xdr:nvSpPr>
            <xdr:cNvPr id="0" name=""/>
            <xdr:cNvSpPr>
              <a:spLocks noTextEdit="1"/>
            </xdr:cNvSpPr>
          </xdr:nvSpPr>
          <xdr:spPr>
            <a:xfrm>
              <a:off x="220980" y="2663118"/>
              <a:ext cx="3200400" cy="189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17</xdr:col>
      <xdr:colOff>122388</xdr:colOff>
      <xdr:row>14</xdr:row>
      <xdr:rowOff>160747</xdr:rowOff>
    </xdr:from>
    <xdr:to>
      <xdr:col>22</xdr:col>
      <xdr:colOff>265380</xdr:colOff>
      <xdr:row>25</xdr:row>
      <xdr:rowOff>84598</xdr:rowOff>
    </xdr:to>
    <mc:AlternateContent xmlns:mc="http://schemas.openxmlformats.org/markup-compatibility/2006">
      <mc:Choice xmlns:a14="http://schemas.microsoft.com/office/drawing/2010/main" Requires="a14">
        <xdr:graphicFrame macro="">
          <xdr:nvGraphicFramePr>
            <xdr:cNvPr id="39" name="Years (Date)">
              <a:extLst>
                <a:ext uri="{FF2B5EF4-FFF2-40B4-BE49-F238E27FC236}">
                  <a16:creationId xmlns:a16="http://schemas.microsoft.com/office/drawing/2014/main" id="{C51430D1-DA39-EFBB-C858-F1675C326630}"/>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10517573" y="2663117"/>
              <a:ext cx="3200400" cy="189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220980</xdr:colOff>
      <xdr:row>4</xdr:row>
      <xdr:rowOff>106679</xdr:rowOff>
    </xdr:from>
    <xdr:to>
      <xdr:col>3</xdr:col>
      <xdr:colOff>557816</xdr:colOff>
      <xdr:row>12</xdr:row>
      <xdr:rowOff>95250</xdr:rowOff>
    </xdr:to>
    <xdr:grpSp>
      <xdr:nvGrpSpPr>
        <xdr:cNvPr id="56" name="Group 55">
          <a:extLst>
            <a:ext uri="{FF2B5EF4-FFF2-40B4-BE49-F238E27FC236}">
              <a16:creationId xmlns:a16="http://schemas.microsoft.com/office/drawing/2014/main" id="{DA2531BF-A2C6-BCE1-C058-2EB00C3FDD65}"/>
            </a:ext>
          </a:extLst>
        </xdr:cNvPr>
        <xdr:cNvGrpSpPr/>
      </xdr:nvGrpSpPr>
      <xdr:grpSpPr>
        <a:xfrm>
          <a:off x="220980" y="821642"/>
          <a:ext cx="2171280" cy="1418497"/>
          <a:chOff x="304799" y="832393"/>
          <a:chExt cx="2160000" cy="1440000"/>
        </a:xfrm>
      </xdr:grpSpPr>
      <xdr:sp macro="" textlink="$F$3">
        <xdr:nvSpPr>
          <xdr:cNvPr id="10" name="Rectangle: Rounded Corners 9">
            <a:extLst>
              <a:ext uri="{FF2B5EF4-FFF2-40B4-BE49-F238E27FC236}">
                <a16:creationId xmlns:a16="http://schemas.microsoft.com/office/drawing/2014/main" id="{B983D321-7E8D-4EC0-B913-783C333C66E1}"/>
              </a:ext>
            </a:extLst>
          </xdr:cNvPr>
          <xdr:cNvSpPr/>
        </xdr:nvSpPr>
        <xdr:spPr>
          <a:xfrm>
            <a:off x="304799" y="832393"/>
            <a:ext cx="2160000" cy="1440000"/>
          </a:xfrm>
          <a:prstGeom prst="roundRect">
            <a:avLst/>
          </a:prstGeom>
          <a:noFill/>
          <a:ln>
            <a:solidFill>
              <a:schemeClr val="bg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a:p>
        </xdr:txBody>
      </xdr:sp>
      <xdr:grpSp>
        <xdr:nvGrpSpPr>
          <xdr:cNvPr id="51" name="Group 50">
            <a:extLst>
              <a:ext uri="{FF2B5EF4-FFF2-40B4-BE49-F238E27FC236}">
                <a16:creationId xmlns:a16="http://schemas.microsoft.com/office/drawing/2014/main" id="{B3D05CEF-87E1-F766-A525-56D7940967C8}"/>
              </a:ext>
            </a:extLst>
          </xdr:cNvPr>
          <xdr:cNvGrpSpPr/>
        </xdr:nvGrpSpPr>
        <xdr:grpSpPr>
          <a:xfrm>
            <a:off x="680357" y="1288143"/>
            <a:ext cx="1342572" cy="633038"/>
            <a:chOff x="680357" y="1288143"/>
            <a:chExt cx="1342572" cy="633038"/>
          </a:xfrm>
        </xdr:grpSpPr>
        <xdr:sp macro="" textlink="">
          <xdr:nvSpPr>
            <xdr:cNvPr id="40" name="TextBox 39">
              <a:extLst>
                <a:ext uri="{FF2B5EF4-FFF2-40B4-BE49-F238E27FC236}">
                  <a16:creationId xmlns:a16="http://schemas.microsoft.com/office/drawing/2014/main" id="{3ED0D40F-18B9-9A78-97E1-FE1033F6948E}"/>
                </a:ext>
              </a:extLst>
            </xdr:cNvPr>
            <xdr:cNvSpPr txBox="1"/>
          </xdr:nvSpPr>
          <xdr:spPr>
            <a:xfrm>
              <a:off x="680357" y="1288143"/>
              <a:ext cx="1342572"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Total Movies</a:t>
              </a:r>
            </a:p>
          </xdr:txBody>
        </xdr:sp>
        <xdr:sp macro="" textlink="'Page 1'!$F$3">
          <xdr:nvSpPr>
            <xdr:cNvPr id="41" name="TextBox 40">
              <a:extLst>
                <a:ext uri="{FF2B5EF4-FFF2-40B4-BE49-F238E27FC236}">
                  <a16:creationId xmlns:a16="http://schemas.microsoft.com/office/drawing/2014/main" id="{EC56F53E-6205-83AC-20BF-1AFD9BBE1FDF}"/>
                </a:ext>
              </a:extLst>
            </xdr:cNvPr>
            <xdr:cNvSpPr txBox="1"/>
          </xdr:nvSpPr>
          <xdr:spPr>
            <a:xfrm>
              <a:off x="698500" y="1603681"/>
              <a:ext cx="1288142"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2EE89B-A28D-4E97-ABD9-47A38AC9D84F}" type="TxLink">
                <a:rPr lang="en-US" sz="1100" b="1" i="0" u="none" strike="noStrike">
                  <a:solidFill>
                    <a:schemeClr val="bg1"/>
                  </a:solidFill>
                  <a:latin typeface="Calibri"/>
                  <a:cs typeface="Calibri"/>
                </a:rPr>
                <a:pPr algn="ctr"/>
                <a:t>33</a:t>
              </a:fld>
              <a:endParaRPr lang="en-IN" sz="1100" b="1">
                <a:solidFill>
                  <a:schemeClr val="bg1"/>
                </a:solidFill>
              </a:endParaRPr>
            </a:p>
          </xdr:txBody>
        </xdr:sp>
      </xdr:grpSp>
    </xdr:grpSp>
    <xdr:clientData/>
  </xdr:twoCellAnchor>
  <xdr:twoCellAnchor>
    <xdr:from>
      <xdr:col>6</xdr:col>
      <xdr:colOff>318478</xdr:colOff>
      <xdr:row>4</xdr:row>
      <xdr:rowOff>71474</xdr:rowOff>
    </xdr:from>
    <xdr:to>
      <xdr:col>10</xdr:col>
      <xdr:colOff>47336</xdr:colOff>
      <xdr:row>12</xdr:row>
      <xdr:rowOff>60045</xdr:rowOff>
    </xdr:to>
    <xdr:grpSp>
      <xdr:nvGrpSpPr>
        <xdr:cNvPr id="57" name="Group 56">
          <a:extLst>
            <a:ext uri="{FF2B5EF4-FFF2-40B4-BE49-F238E27FC236}">
              <a16:creationId xmlns:a16="http://schemas.microsoft.com/office/drawing/2014/main" id="{5400DE7A-8365-826E-039F-2377E3018036}"/>
            </a:ext>
          </a:extLst>
        </xdr:cNvPr>
        <xdr:cNvGrpSpPr/>
      </xdr:nvGrpSpPr>
      <xdr:grpSpPr>
        <a:xfrm>
          <a:off x="3987367" y="786437"/>
          <a:ext cx="2174784" cy="1418497"/>
          <a:chOff x="3187699" y="821507"/>
          <a:chExt cx="2160000" cy="1440000"/>
        </a:xfrm>
      </xdr:grpSpPr>
      <xdr:sp macro="" textlink="$F$3">
        <xdr:nvSpPr>
          <xdr:cNvPr id="52" name="Rectangle: Rounded Corners 51">
            <a:extLst>
              <a:ext uri="{FF2B5EF4-FFF2-40B4-BE49-F238E27FC236}">
                <a16:creationId xmlns:a16="http://schemas.microsoft.com/office/drawing/2014/main" id="{91AB230A-0716-4C25-B76E-B7F133059106}"/>
              </a:ext>
            </a:extLst>
          </xdr:cNvPr>
          <xdr:cNvSpPr/>
        </xdr:nvSpPr>
        <xdr:spPr>
          <a:xfrm>
            <a:off x="3187699" y="821507"/>
            <a:ext cx="2160000" cy="1440000"/>
          </a:xfrm>
          <a:prstGeom prst="roundRect">
            <a:avLst/>
          </a:prstGeom>
          <a:noFill/>
          <a:ln>
            <a:solidFill>
              <a:schemeClr val="lt1">
                <a:shade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a:p>
        </xdr:txBody>
      </xdr:sp>
      <xdr:grpSp>
        <xdr:nvGrpSpPr>
          <xdr:cNvPr id="53" name="Group 52">
            <a:extLst>
              <a:ext uri="{FF2B5EF4-FFF2-40B4-BE49-F238E27FC236}">
                <a16:creationId xmlns:a16="http://schemas.microsoft.com/office/drawing/2014/main" id="{BBD8F48E-D1A5-4D68-B677-796954457D57}"/>
              </a:ext>
            </a:extLst>
          </xdr:cNvPr>
          <xdr:cNvGrpSpPr/>
        </xdr:nvGrpSpPr>
        <xdr:grpSpPr>
          <a:xfrm>
            <a:off x="3363802" y="1277257"/>
            <a:ext cx="1912423" cy="680357"/>
            <a:chOff x="480902" y="1288143"/>
            <a:chExt cx="1912423" cy="680357"/>
          </a:xfrm>
        </xdr:grpSpPr>
        <xdr:sp macro="" textlink="">
          <xdr:nvSpPr>
            <xdr:cNvPr id="54" name="TextBox 53">
              <a:extLst>
                <a:ext uri="{FF2B5EF4-FFF2-40B4-BE49-F238E27FC236}">
                  <a16:creationId xmlns:a16="http://schemas.microsoft.com/office/drawing/2014/main" id="{466DDD9C-2FCC-3EA0-C485-5A4BEE9C742F}"/>
                </a:ext>
              </a:extLst>
            </xdr:cNvPr>
            <xdr:cNvSpPr txBox="1"/>
          </xdr:nvSpPr>
          <xdr:spPr>
            <a:xfrm>
              <a:off x="480902" y="1288143"/>
              <a:ext cx="1912423"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solidFill>
                    <a:schemeClr val="bg1"/>
                  </a:solidFill>
                  <a:effectLst/>
                  <a:latin typeface="+mn-lt"/>
                  <a:ea typeface="+mn-ea"/>
                  <a:cs typeface="+mn-cs"/>
                </a:rPr>
                <a:t>Total Revenue (Crores)</a:t>
              </a:r>
              <a:endParaRPr lang="en-IN" sz="1400">
                <a:solidFill>
                  <a:schemeClr val="bg1"/>
                </a:solidFill>
                <a:effectLst/>
              </a:endParaRPr>
            </a:p>
          </xdr:txBody>
        </xdr:sp>
        <xdr:sp macro="" textlink="'Page 1'!$G$3">
          <xdr:nvSpPr>
            <xdr:cNvPr id="55" name="TextBox 54">
              <a:extLst>
                <a:ext uri="{FF2B5EF4-FFF2-40B4-BE49-F238E27FC236}">
                  <a16:creationId xmlns:a16="http://schemas.microsoft.com/office/drawing/2014/main" id="{39D7A7F7-0BBC-C310-6AD0-CCD12C743086}"/>
                </a:ext>
              </a:extLst>
            </xdr:cNvPr>
            <xdr:cNvSpPr txBox="1"/>
          </xdr:nvSpPr>
          <xdr:spPr>
            <a:xfrm>
              <a:off x="698500" y="1651000"/>
              <a:ext cx="1288142"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3A34BE-F05B-498D-92A1-1E0885AEA77D}" type="TxLink">
                <a:rPr lang="en-US" sz="1100" b="1" i="0" u="none" strike="noStrike">
                  <a:solidFill>
                    <a:schemeClr val="bg1"/>
                  </a:solidFill>
                  <a:latin typeface="Calibri"/>
                  <a:cs typeface="Calibri"/>
                </a:rPr>
                <a:pPr algn="ctr"/>
                <a:t> 15,385 </a:t>
              </a:fld>
              <a:endParaRPr lang="en-IN" sz="1200" b="1">
                <a:solidFill>
                  <a:schemeClr val="bg1"/>
                </a:solidFill>
              </a:endParaRPr>
            </a:p>
          </xdr:txBody>
        </xdr:sp>
      </xdr:grpSp>
    </xdr:grpSp>
    <xdr:clientData/>
  </xdr:twoCellAnchor>
  <xdr:twoCellAnchor>
    <xdr:from>
      <xdr:col>12</xdr:col>
      <xdr:colOff>415976</xdr:colOff>
      <xdr:row>4</xdr:row>
      <xdr:rowOff>65299</xdr:rowOff>
    </xdr:from>
    <xdr:to>
      <xdr:col>16</xdr:col>
      <xdr:colOff>144833</xdr:colOff>
      <xdr:row>12</xdr:row>
      <xdr:rowOff>53870</xdr:rowOff>
    </xdr:to>
    <xdr:grpSp>
      <xdr:nvGrpSpPr>
        <xdr:cNvPr id="58" name="Group 57">
          <a:extLst>
            <a:ext uri="{FF2B5EF4-FFF2-40B4-BE49-F238E27FC236}">
              <a16:creationId xmlns:a16="http://schemas.microsoft.com/office/drawing/2014/main" id="{FA0FFB39-EC0D-4B95-9997-4E825A360D39}"/>
            </a:ext>
          </a:extLst>
        </xdr:cNvPr>
        <xdr:cNvGrpSpPr/>
      </xdr:nvGrpSpPr>
      <xdr:grpSpPr>
        <a:xfrm>
          <a:off x="7753754" y="780262"/>
          <a:ext cx="2174783" cy="1418497"/>
          <a:chOff x="304799" y="832393"/>
          <a:chExt cx="2160000" cy="1440000"/>
        </a:xfrm>
      </xdr:grpSpPr>
      <xdr:sp macro="" textlink="$F$3">
        <xdr:nvSpPr>
          <xdr:cNvPr id="59" name="Rectangle: Rounded Corners 58">
            <a:extLst>
              <a:ext uri="{FF2B5EF4-FFF2-40B4-BE49-F238E27FC236}">
                <a16:creationId xmlns:a16="http://schemas.microsoft.com/office/drawing/2014/main" id="{A7C1DAC1-FB8D-0FA1-5ADF-7082758E13B3}"/>
              </a:ext>
            </a:extLst>
          </xdr:cNvPr>
          <xdr:cNvSpPr/>
        </xdr:nvSpPr>
        <xdr:spPr>
          <a:xfrm>
            <a:off x="304799" y="832393"/>
            <a:ext cx="2160000" cy="1440000"/>
          </a:xfrm>
          <a:prstGeom prst="roundRect">
            <a:avLst/>
          </a:prstGeom>
          <a:noFill/>
          <a:ln>
            <a:solidFill>
              <a:schemeClr val="bg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a:p>
        </xdr:txBody>
      </xdr:sp>
      <xdr:grpSp>
        <xdr:nvGrpSpPr>
          <xdr:cNvPr id="60" name="Group 59">
            <a:extLst>
              <a:ext uri="{FF2B5EF4-FFF2-40B4-BE49-F238E27FC236}">
                <a16:creationId xmlns:a16="http://schemas.microsoft.com/office/drawing/2014/main" id="{3DF3C4E4-E854-4B33-B221-2ABB97C37129}"/>
              </a:ext>
            </a:extLst>
          </xdr:cNvPr>
          <xdr:cNvGrpSpPr/>
        </xdr:nvGrpSpPr>
        <xdr:grpSpPr>
          <a:xfrm>
            <a:off x="386350" y="1256597"/>
            <a:ext cx="1985353" cy="664584"/>
            <a:chOff x="386350" y="1256597"/>
            <a:chExt cx="1985353" cy="664584"/>
          </a:xfrm>
        </xdr:grpSpPr>
        <xdr:sp macro="" textlink="">
          <xdr:nvSpPr>
            <xdr:cNvPr id="61" name="TextBox 60">
              <a:extLst>
                <a:ext uri="{FF2B5EF4-FFF2-40B4-BE49-F238E27FC236}">
                  <a16:creationId xmlns:a16="http://schemas.microsoft.com/office/drawing/2014/main" id="{7CE97EC5-0D17-F759-3EC4-D35C81315F86}"/>
                </a:ext>
              </a:extLst>
            </xdr:cNvPr>
            <xdr:cNvSpPr txBox="1"/>
          </xdr:nvSpPr>
          <xdr:spPr>
            <a:xfrm>
              <a:off x="386350" y="1256597"/>
              <a:ext cx="1985353" cy="356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solidFill>
                    <a:schemeClr val="bg1"/>
                  </a:solidFill>
                  <a:effectLst/>
                  <a:latin typeface="+mn-lt"/>
                  <a:ea typeface="+mn-ea"/>
                  <a:cs typeface="+mn-cs"/>
                </a:rPr>
                <a:t>Average</a:t>
              </a:r>
              <a:r>
                <a:rPr lang="en-IN" sz="1400" b="1" baseline="0">
                  <a:solidFill>
                    <a:schemeClr val="bg1"/>
                  </a:solidFill>
                  <a:effectLst/>
                  <a:latin typeface="+mn-lt"/>
                  <a:ea typeface="+mn-ea"/>
                  <a:cs typeface="+mn-cs"/>
                </a:rPr>
                <a:t> Budget</a:t>
              </a:r>
              <a:r>
                <a:rPr lang="en-IN" sz="1400" b="1">
                  <a:solidFill>
                    <a:schemeClr val="bg1"/>
                  </a:solidFill>
                  <a:effectLst/>
                  <a:latin typeface="+mn-lt"/>
                  <a:ea typeface="+mn-ea"/>
                  <a:cs typeface="+mn-cs"/>
                </a:rPr>
                <a:t> (Crores)</a:t>
              </a:r>
              <a:endParaRPr lang="en-IN" sz="1400">
                <a:solidFill>
                  <a:schemeClr val="bg1"/>
                </a:solidFill>
                <a:effectLst/>
              </a:endParaRPr>
            </a:p>
          </xdr:txBody>
        </xdr:sp>
        <xdr:sp macro="" textlink="'Page 1'!$H$3">
          <xdr:nvSpPr>
            <xdr:cNvPr id="62" name="TextBox 61">
              <a:extLst>
                <a:ext uri="{FF2B5EF4-FFF2-40B4-BE49-F238E27FC236}">
                  <a16:creationId xmlns:a16="http://schemas.microsoft.com/office/drawing/2014/main" id="{1AF4C50A-F2E2-F20E-0599-8B639D26CAC7}"/>
                </a:ext>
              </a:extLst>
            </xdr:cNvPr>
            <xdr:cNvSpPr txBox="1"/>
          </xdr:nvSpPr>
          <xdr:spPr>
            <a:xfrm>
              <a:off x="698500" y="1603681"/>
              <a:ext cx="1288142"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3BCCEF-D85F-4305-A33C-915657B05713}" type="TxLink">
                <a:rPr lang="en-US" sz="1100" b="1" i="0" u="none" strike="noStrike">
                  <a:solidFill>
                    <a:schemeClr val="bg1"/>
                  </a:solidFill>
                  <a:latin typeface="Calibri"/>
                  <a:cs typeface="Calibri"/>
                </a:rPr>
                <a:pPr algn="ctr"/>
                <a:t>117.82</a:t>
              </a:fld>
              <a:endParaRPr lang="en-IN" sz="1200" b="1">
                <a:solidFill>
                  <a:schemeClr val="bg1"/>
                </a:solidFill>
              </a:endParaRPr>
            </a:p>
          </xdr:txBody>
        </xdr:sp>
      </xdr:grpSp>
    </xdr:grpSp>
    <xdr:clientData/>
  </xdr:twoCellAnchor>
  <xdr:twoCellAnchor>
    <xdr:from>
      <xdr:col>18</xdr:col>
      <xdr:colOff>513473</xdr:colOff>
      <xdr:row>4</xdr:row>
      <xdr:rowOff>75836</xdr:rowOff>
    </xdr:from>
    <xdr:to>
      <xdr:col>22</xdr:col>
      <xdr:colOff>265380</xdr:colOff>
      <xdr:row>12</xdr:row>
      <xdr:rowOff>64407</xdr:rowOff>
    </xdr:to>
    <xdr:grpSp>
      <xdr:nvGrpSpPr>
        <xdr:cNvPr id="63" name="Group 62">
          <a:extLst>
            <a:ext uri="{FF2B5EF4-FFF2-40B4-BE49-F238E27FC236}">
              <a16:creationId xmlns:a16="http://schemas.microsoft.com/office/drawing/2014/main" id="{D7ADA4C5-98E1-41EC-9587-B12C575E77D3}"/>
            </a:ext>
          </a:extLst>
        </xdr:cNvPr>
        <xdr:cNvGrpSpPr/>
      </xdr:nvGrpSpPr>
      <xdr:grpSpPr>
        <a:xfrm>
          <a:off x="11520140" y="790799"/>
          <a:ext cx="2197833" cy="1418497"/>
          <a:chOff x="3187699" y="821507"/>
          <a:chExt cx="2183042" cy="1440000"/>
        </a:xfrm>
      </xdr:grpSpPr>
      <xdr:sp macro="" textlink="$F$3">
        <xdr:nvSpPr>
          <xdr:cNvPr id="64" name="Rectangle: Rounded Corners 63">
            <a:extLst>
              <a:ext uri="{FF2B5EF4-FFF2-40B4-BE49-F238E27FC236}">
                <a16:creationId xmlns:a16="http://schemas.microsoft.com/office/drawing/2014/main" id="{5555CC43-77A2-AEFC-BB87-6E277B6E6A00}"/>
              </a:ext>
            </a:extLst>
          </xdr:cNvPr>
          <xdr:cNvSpPr/>
        </xdr:nvSpPr>
        <xdr:spPr>
          <a:xfrm>
            <a:off x="3187699" y="821507"/>
            <a:ext cx="2160000" cy="1440000"/>
          </a:xfrm>
          <a:prstGeom prst="roundRect">
            <a:avLst/>
          </a:prstGeom>
          <a:noFill/>
          <a:ln>
            <a:solidFill>
              <a:schemeClr val="bg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a:p>
        </xdr:txBody>
      </xdr:sp>
      <xdr:grpSp>
        <xdr:nvGrpSpPr>
          <xdr:cNvPr id="65" name="Group 64">
            <a:extLst>
              <a:ext uri="{FF2B5EF4-FFF2-40B4-BE49-F238E27FC236}">
                <a16:creationId xmlns:a16="http://schemas.microsoft.com/office/drawing/2014/main" id="{F783112F-EAEC-C1E7-78C6-128ADFFA0A1B}"/>
              </a:ext>
            </a:extLst>
          </xdr:cNvPr>
          <xdr:cNvGrpSpPr/>
        </xdr:nvGrpSpPr>
        <xdr:grpSpPr>
          <a:xfrm>
            <a:off x="3369180" y="1300916"/>
            <a:ext cx="2001561" cy="585718"/>
            <a:chOff x="486280" y="1311802"/>
            <a:chExt cx="2001561" cy="585718"/>
          </a:xfrm>
        </xdr:grpSpPr>
        <xdr:sp macro="" textlink="">
          <xdr:nvSpPr>
            <xdr:cNvPr id="66" name="TextBox 65">
              <a:extLst>
                <a:ext uri="{FF2B5EF4-FFF2-40B4-BE49-F238E27FC236}">
                  <a16:creationId xmlns:a16="http://schemas.microsoft.com/office/drawing/2014/main" id="{FD0C24F8-E5EA-8ED2-5E6F-4A7E94A587BB}"/>
                </a:ext>
              </a:extLst>
            </xdr:cNvPr>
            <xdr:cNvSpPr txBox="1"/>
          </xdr:nvSpPr>
          <xdr:spPr>
            <a:xfrm>
              <a:off x="486280" y="1311802"/>
              <a:ext cx="2001561"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solidFill>
                    <a:schemeClr val="bg1"/>
                  </a:solidFill>
                  <a:effectLst/>
                  <a:latin typeface="+mn-lt"/>
                  <a:ea typeface="+mn-ea"/>
                  <a:cs typeface="+mn-cs"/>
                </a:rPr>
                <a:t>Average</a:t>
              </a:r>
              <a:r>
                <a:rPr lang="en-IN" sz="1400" b="1" baseline="0">
                  <a:solidFill>
                    <a:schemeClr val="bg1"/>
                  </a:solidFill>
                  <a:effectLst/>
                  <a:latin typeface="+mn-lt"/>
                  <a:ea typeface="+mn-ea"/>
                  <a:cs typeface="+mn-cs"/>
                </a:rPr>
                <a:t> ROI</a:t>
              </a:r>
              <a:r>
                <a:rPr lang="en-IN" sz="1400" b="1">
                  <a:solidFill>
                    <a:schemeClr val="bg1"/>
                  </a:solidFill>
                  <a:effectLst/>
                  <a:latin typeface="+mn-lt"/>
                  <a:ea typeface="+mn-ea"/>
                  <a:cs typeface="+mn-cs"/>
                </a:rPr>
                <a:t> (Crores)</a:t>
              </a:r>
              <a:endParaRPr lang="en-IN" sz="1400">
                <a:solidFill>
                  <a:schemeClr val="bg1"/>
                </a:solidFill>
                <a:effectLst/>
              </a:endParaRPr>
            </a:p>
          </xdr:txBody>
        </xdr:sp>
        <xdr:sp macro="" textlink="'Page 1'!$I$3">
          <xdr:nvSpPr>
            <xdr:cNvPr id="67" name="TextBox 66">
              <a:extLst>
                <a:ext uri="{FF2B5EF4-FFF2-40B4-BE49-F238E27FC236}">
                  <a16:creationId xmlns:a16="http://schemas.microsoft.com/office/drawing/2014/main" id="{7F008443-034C-F961-F75F-DF3CEBB4FE30}"/>
                </a:ext>
              </a:extLst>
            </xdr:cNvPr>
            <xdr:cNvSpPr txBox="1"/>
          </xdr:nvSpPr>
          <xdr:spPr>
            <a:xfrm>
              <a:off x="755224" y="1580020"/>
              <a:ext cx="1288142"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68331D-9A3D-4C9C-AB6A-857A0FB23AB9}" type="TxLink">
                <a:rPr lang="en-US" sz="1100" b="1" i="0" u="none" strike="noStrike">
                  <a:solidFill>
                    <a:schemeClr val="bg1"/>
                  </a:solidFill>
                  <a:latin typeface="Calibri"/>
                  <a:cs typeface="Calibri"/>
                </a:rPr>
                <a:pPr algn="ctr"/>
                <a:t>123.71</a:t>
              </a:fld>
              <a:endParaRPr lang="en-IN" sz="1200" b="1">
                <a:solidFill>
                  <a:schemeClr val="bg1"/>
                </a:solidFill>
              </a:endParaRPr>
            </a:p>
          </xdr:txBody>
        </xdr:sp>
      </xdr:grpSp>
    </xdr:grpSp>
    <xdr:clientData/>
  </xdr:twoCellAnchor>
  <xdr:twoCellAnchor editAs="oneCell">
    <xdr:from>
      <xdr:col>3</xdr:col>
      <xdr:colOff>389105</xdr:colOff>
      <xdr:row>28</xdr:row>
      <xdr:rowOff>162126</xdr:rowOff>
    </xdr:from>
    <xdr:to>
      <xdr:col>4</xdr:col>
      <xdr:colOff>145915</xdr:colOff>
      <xdr:row>30</xdr:row>
      <xdr:rowOff>154022</xdr:rowOff>
    </xdr:to>
    <xdr:pic>
      <xdr:nvPicPr>
        <xdr:cNvPr id="5" name="Graphic 4" descr="Video camera">
          <a:extLst>
            <a:ext uri="{FF2B5EF4-FFF2-40B4-BE49-F238E27FC236}">
              <a16:creationId xmlns:a16="http://schemas.microsoft.com/office/drawing/2014/main" id="{8F108B31-50EE-7735-8779-B3EFC76A935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13041" y="5382637"/>
          <a:ext cx="364789" cy="364789"/>
        </a:xfrm>
        <a:prstGeom prst="rect">
          <a:avLst/>
        </a:prstGeom>
      </xdr:spPr>
    </xdr:pic>
    <xdr:clientData/>
  </xdr:twoCellAnchor>
  <xdr:twoCellAnchor editAs="oneCell">
    <xdr:from>
      <xdr:col>7</xdr:col>
      <xdr:colOff>543129</xdr:colOff>
      <xdr:row>4</xdr:row>
      <xdr:rowOff>56745</xdr:rowOff>
    </xdr:from>
    <xdr:to>
      <xdr:col>8</xdr:col>
      <xdr:colOff>462064</xdr:colOff>
      <xdr:row>7</xdr:row>
      <xdr:rowOff>24318</xdr:rowOff>
    </xdr:to>
    <xdr:pic>
      <xdr:nvPicPr>
        <xdr:cNvPr id="7" name="Graphic 6" descr="Money">
          <a:extLst>
            <a:ext uri="{FF2B5EF4-FFF2-40B4-BE49-F238E27FC236}">
              <a16:creationId xmlns:a16="http://schemas.microsoft.com/office/drawing/2014/main" id="{46B2F7DC-B0E4-9928-24D2-4618C7864F3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798980" y="802532"/>
          <a:ext cx="526914" cy="526914"/>
        </a:xfrm>
        <a:prstGeom prst="rect">
          <a:avLst/>
        </a:prstGeom>
      </xdr:spPr>
    </xdr:pic>
    <xdr:clientData/>
  </xdr:twoCellAnchor>
  <xdr:twoCellAnchor editAs="oneCell">
    <xdr:from>
      <xdr:col>1</xdr:col>
      <xdr:colOff>340468</xdr:colOff>
      <xdr:row>4</xdr:row>
      <xdr:rowOff>105382</xdr:rowOff>
    </xdr:from>
    <xdr:to>
      <xdr:col>2</xdr:col>
      <xdr:colOff>340469</xdr:colOff>
      <xdr:row>7</xdr:row>
      <xdr:rowOff>154020</xdr:rowOff>
    </xdr:to>
    <xdr:pic>
      <xdr:nvPicPr>
        <xdr:cNvPr id="9" name="Graphic 8" descr="Theatre">
          <a:extLst>
            <a:ext uri="{FF2B5EF4-FFF2-40B4-BE49-F238E27FC236}">
              <a16:creationId xmlns:a16="http://schemas.microsoft.com/office/drawing/2014/main" id="{08ADF4FA-EF97-887E-6F4F-9B3D43B94E7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48447" y="851169"/>
          <a:ext cx="607979" cy="607979"/>
        </a:xfrm>
        <a:prstGeom prst="rect">
          <a:avLst/>
        </a:prstGeom>
      </xdr:spPr>
    </xdr:pic>
    <xdr:clientData/>
  </xdr:twoCellAnchor>
  <xdr:twoCellAnchor editAs="oneCell">
    <xdr:from>
      <xdr:col>14</xdr:col>
      <xdr:colOff>72956</xdr:colOff>
      <xdr:row>4</xdr:row>
      <xdr:rowOff>145915</xdr:rowOff>
    </xdr:from>
    <xdr:to>
      <xdr:col>14</xdr:col>
      <xdr:colOff>599871</xdr:colOff>
      <xdr:row>7</xdr:row>
      <xdr:rowOff>8106</xdr:rowOff>
    </xdr:to>
    <xdr:pic>
      <xdr:nvPicPr>
        <xdr:cNvPr id="12" name="Graphic 11" descr="Bank">
          <a:extLst>
            <a:ext uri="{FF2B5EF4-FFF2-40B4-BE49-F238E27FC236}">
              <a16:creationId xmlns:a16="http://schemas.microsoft.com/office/drawing/2014/main" id="{195AF485-8BCA-16C4-F452-7964205A1F2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584658" y="891702"/>
          <a:ext cx="526915" cy="421532"/>
        </a:xfrm>
        <a:prstGeom prst="rect">
          <a:avLst/>
        </a:prstGeom>
      </xdr:spPr>
    </xdr:pic>
    <xdr:clientData/>
  </xdr:twoCellAnchor>
  <xdr:twoCellAnchor editAs="oneCell">
    <xdr:from>
      <xdr:col>20</xdr:col>
      <xdr:colOff>186448</xdr:colOff>
      <xdr:row>4</xdr:row>
      <xdr:rowOff>178340</xdr:rowOff>
    </xdr:from>
    <xdr:to>
      <xdr:col>21</xdr:col>
      <xdr:colOff>16214</xdr:colOff>
      <xdr:row>7</xdr:row>
      <xdr:rowOff>56744</xdr:rowOff>
    </xdr:to>
    <xdr:pic>
      <xdr:nvPicPr>
        <xdr:cNvPr id="14" name="Graphic 13" descr="Rupee">
          <a:extLst>
            <a:ext uri="{FF2B5EF4-FFF2-40B4-BE49-F238E27FC236}">
              <a16:creationId xmlns:a16="http://schemas.microsoft.com/office/drawing/2014/main" id="{55792CA6-0905-FD65-4D92-755D581A84F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346022" y="924127"/>
          <a:ext cx="437745" cy="437745"/>
        </a:xfrm>
        <a:prstGeom prst="rect">
          <a:avLst/>
        </a:prstGeom>
      </xdr:spPr>
    </xdr:pic>
    <xdr:clientData/>
  </xdr:twoCellAnchor>
  <xdr:twoCellAnchor editAs="absolute">
    <xdr:from>
      <xdr:col>8</xdr:col>
      <xdr:colOff>483069</xdr:colOff>
      <xdr:row>14</xdr:row>
      <xdr:rowOff>141111</xdr:rowOff>
    </xdr:from>
    <xdr:to>
      <xdr:col>14</xdr:col>
      <xdr:colOff>12698</xdr:colOff>
      <xdr:row>25</xdr:row>
      <xdr:rowOff>65851</xdr:rowOff>
    </xdr:to>
    <mc:AlternateContent xmlns:mc="http://schemas.openxmlformats.org/markup-compatibility/2006">
      <mc:Choice xmlns:a14="http://schemas.microsoft.com/office/drawing/2010/main" Requires="a14">
        <xdr:graphicFrame macro="">
          <xdr:nvGraphicFramePr>
            <xdr:cNvPr id="3" name="Genre">
              <a:extLst>
                <a:ext uri="{FF2B5EF4-FFF2-40B4-BE49-F238E27FC236}">
                  <a16:creationId xmlns:a16="http://schemas.microsoft.com/office/drawing/2014/main" id="{C080C17F-7F58-7C79-B17E-8FB606B9780C}"/>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5374921" y="2643481"/>
              <a:ext cx="3198518" cy="1890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0.26183</cdr:x>
      <cdr:y>0.01293</cdr:y>
    </cdr:from>
    <cdr:to>
      <cdr:x>0.31964</cdr:x>
      <cdr:y>0.1487</cdr:y>
    </cdr:to>
    <cdr:pic>
      <cdr:nvPicPr>
        <cdr:cNvPr id="3" name="Graphic 2" descr="Money">
          <a:extLst xmlns:a="http://schemas.openxmlformats.org/drawingml/2006/main">
            <a:ext uri="{FF2B5EF4-FFF2-40B4-BE49-F238E27FC236}">
              <a16:creationId xmlns:a16="http://schemas.microsoft.com/office/drawing/2014/main" id="{8C9CE8B9-B3A4-EC2B-4F4D-07E8C96FEFA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541995" y="32427"/>
          <a:ext cx="340469" cy="340469"/>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15240</xdr:rowOff>
    </xdr:from>
    <xdr:to>
      <xdr:col>25</xdr:col>
      <xdr:colOff>342900</xdr:colOff>
      <xdr:row>3</xdr:row>
      <xdr:rowOff>152400</xdr:rowOff>
    </xdr:to>
    <xdr:sp macro="" textlink="">
      <xdr:nvSpPr>
        <xdr:cNvPr id="3" name="Rectangle 2">
          <a:extLst>
            <a:ext uri="{FF2B5EF4-FFF2-40B4-BE49-F238E27FC236}">
              <a16:creationId xmlns:a16="http://schemas.microsoft.com/office/drawing/2014/main" id="{09B721C9-94DD-464B-AB47-E5F5EC8D30C1}"/>
            </a:ext>
          </a:extLst>
        </xdr:cNvPr>
        <xdr:cNvSpPr/>
      </xdr:nvSpPr>
      <xdr:spPr>
        <a:xfrm>
          <a:off x="0" y="15240"/>
          <a:ext cx="15582900" cy="68580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22860</xdr:colOff>
      <xdr:row>0</xdr:row>
      <xdr:rowOff>167640</xdr:rowOff>
    </xdr:from>
    <xdr:to>
      <xdr:col>16</xdr:col>
      <xdr:colOff>579120</xdr:colOff>
      <xdr:row>3</xdr:row>
      <xdr:rowOff>38100</xdr:rowOff>
    </xdr:to>
    <xdr:sp macro="" textlink="">
      <xdr:nvSpPr>
        <xdr:cNvPr id="4" name="TextBox 3">
          <a:extLst>
            <a:ext uri="{FF2B5EF4-FFF2-40B4-BE49-F238E27FC236}">
              <a16:creationId xmlns:a16="http://schemas.microsoft.com/office/drawing/2014/main" id="{7EC31114-B501-4480-9CAB-FE90ED3DDD75}"/>
            </a:ext>
          </a:extLst>
        </xdr:cNvPr>
        <xdr:cNvSpPr txBox="1"/>
      </xdr:nvSpPr>
      <xdr:spPr>
        <a:xfrm>
          <a:off x="4290060" y="167640"/>
          <a:ext cx="604266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i="1">
              <a:solidFill>
                <a:schemeClr val="bg1"/>
              </a:solidFill>
            </a:rPr>
            <a:t>Box Office Performance</a:t>
          </a:r>
        </a:p>
      </xdr:txBody>
    </xdr:sp>
    <xdr:clientData/>
  </xdr:twoCellAnchor>
  <xdr:twoCellAnchor>
    <xdr:from>
      <xdr:col>0</xdr:col>
      <xdr:colOff>129540</xdr:colOff>
      <xdr:row>4</xdr:row>
      <xdr:rowOff>76200</xdr:rowOff>
    </xdr:from>
    <xdr:to>
      <xdr:col>11</xdr:col>
      <xdr:colOff>373380</xdr:colOff>
      <xdr:row>23</xdr:row>
      <xdr:rowOff>45720</xdr:rowOff>
    </xdr:to>
    <xdr:grpSp>
      <xdr:nvGrpSpPr>
        <xdr:cNvPr id="8" name="Group 7">
          <a:extLst>
            <a:ext uri="{FF2B5EF4-FFF2-40B4-BE49-F238E27FC236}">
              <a16:creationId xmlns:a16="http://schemas.microsoft.com/office/drawing/2014/main" id="{5EDA464B-D7EC-F905-7FF9-F4F6BC70178F}"/>
            </a:ext>
          </a:extLst>
        </xdr:cNvPr>
        <xdr:cNvGrpSpPr/>
      </xdr:nvGrpSpPr>
      <xdr:grpSpPr>
        <a:xfrm>
          <a:off x="129540" y="824832"/>
          <a:ext cx="7008261" cy="3525520"/>
          <a:chOff x="129540" y="807720"/>
          <a:chExt cx="6949440" cy="3444240"/>
        </a:xfrm>
      </xdr:grpSpPr>
      <xdr:sp macro="" textlink="">
        <xdr:nvSpPr>
          <xdr:cNvPr id="5" name="Rectangle: Rounded Corners 4">
            <a:extLst>
              <a:ext uri="{FF2B5EF4-FFF2-40B4-BE49-F238E27FC236}">
                <a16:creationId xmlns:a16="http://schemas.microsoft.com/office/drawing/2014/main" id="{476B7F9B-D3B3-516F-E169-4CC9CC569870}"/>
              </a:ext>
            </a:extLst>
          </xdr:cNvPr>
          <xdr:cNvSpPr/>
        </xdr:nvSpPr>
        <xdr:spPr>
          <a:xfrm>
            <a:off x="129540" y="807720"/>
            <a:ext cx="6949440" cy="34442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7" name="Chart 1">
            <a:extLst>
              <a:ext uri="{FF2B5EF4-FFF2-40B4-BE49-F238E27FC236}">
                <a16:creationId xmlns:a16="http://schemas.microsoft.com/office/drawing/2014/main" id="{D595A557-F138-3F88-8FA4-4C4525CECFDF}"/>
              </a:ext>
            </a:extLst>
          </xdr:cNvPr>
          <xdr:cNvGraphicFramePr/>
        </xdr:nvGraphicFramePr>
        <xdr:xfrm>
          <a:off x="396240" y="1074420"/>
          <a:ext cx="6400800" cy="291846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12</xdr:col>
      <xdr:colOff>76200</xdr:colOff>
      <xdr:row>4</xdr:row>
      <xdr:rowOff>114300</xdr:rowOff>
    </xdr:from>
    <xdr:to>
      <xdr:col>23</xdr:col>
      <xdr:colOff>318600</xdr:colOff>
      <xdr:row>23</xdr:row>
      <xdr:rowOff>84780</xdr:rowOff>
    </xdr:to>
    <xdr:grpSp>
      <xdr:nvGrpSpPr>
        <xdr:cNvPr id="9" name="Group 8">
          <a:extLst>
            <a:ext uri="{FF2B5EF4-FFF2-40B4-BE49-F238E27FC236}">
              <a16:creationId xmlns:a16="http://schemas.microsoft.com/office/drawing/2014/main" id="{ECBBC6A5-CD3C-73B0-BC61-7729F2C1A4F7}"/>
            </a:ext>
          </a:extLst>
        </xdr:cNvPr>
        <xdr:cNvGrpSpPr/>
      </xdr:nvGrpSpPr>
      <xdr:grpSpPr>
        <a:xfrm>
          <a:off x="7455568" y="862932"/>
          <a:ext cx="7006821" cy="3526480"/>
          <a:chOff x="7292340" y="845820"/>
          <a:chExt cx="6948000" cy="3445200"/>
        </a:xfrm>
      </xdr:grpSpPr>
      <xdr:sp macro="" textlink="">
        <xdr:nvSpPr>
          <xdr:cNvPr id="6" name="Rectangle: Rounded Corners 5">
            <a:extLst>
              <a:ext uri="{FF2B5EF4-FFF2-40B4-BE49-F238E27FC236}">
                <a16:creationId xmlns:a16="http://schemas.microsoft.com/office/drawing/2014/main" id="{9204A603-7868-3C7C-C119-476051F4437E}"/>
              </a:ext>
            </a:extLst>
          </xdr:cNvPr>
          <xdr:cNvSpPr/>
        </xdr:nvSpPr>
        <xdr:spPr>
          <a:xfrm>
            <a:off x="7292340" y="845820"/>
            <a:ext cx="6948000" cy="34452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8" name="Chart 2">
            <a:extLst>
              <a:ext uri="{FF2B5EF4-FFF2-40B4-BE49-F238E27FC236}">
                <a16:creationId xmlns:a16="http://schemas.microsoft.com/office/drawing/2014/main" id="{7F82B3A3-A869-5386-8B37-E422E6D4A733}"/>
              </a:ext>
            </a:extLst>
          </xdr:cNvPr>
          <xdr:cNvGraphicFramePr/>
        </xdr:nvGraphicFramePr>
        <xdr:xfrm>
          <a:off x="7589520" y="1066800"/>
          <a:ext cx="6400800" cy="29196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0</xdr:col>
      <xdr:colOff>129540</xdr:colOff>
      <xdr:row>24</xdr:row>
      <xdr:rowOff>45720</xdr:rowOff>
    </xdr:from>
    <xdr:to>
      <xdr:col>11</xdr:col>
      <xdr:colOff>371940</xdr:colOff>
      <xdr:row>43</xdr:row>
      <xdr:rowOff>16200</xdr:rowOff>
    </xdr:to>
    <xdr:grpSp>
      <xdr:nvGrpSpPr>
        <xdr:cNvPr id="10" name="Group 9">
          <a:extLst>
            <a:ext uri="{FF2B5EF4-FFF2-40B4-BE49-F238E27FC236}">
              <a16:creationId xmlns:a16="http://schemas.microsoft.com/office/drawing/2014/main" id="{5F0762C0-F108-E85B-9028-9B998AD2F4E3}"/>
            </a:ext>
          </a:extLst>
        </xdr:cNvPr>
        <xdr:cNvGrpSpPr/>
      </xdr:nvGrpSpPr>
      <xdr:grpSpPr>
        <a:xfrm>
          <a:off x="129540" y="4537509"/>
          <a:ext cx="7006821" cy="3526480"/>
          <a:chOff x="205740" y="4434840"/>
          <a:chExt cx="6948000" cy="3445200"/>
        </a:xfrm>
      </xdr:grpSpPr>
      <xdr:sp macro="" textlink="">
        <xdr:nvSpPr>
          <xdr:cNvPr id="7" name="Rectangle: Rounded Corners 6">
            <a:extLst>
              <a:ext uri="{FF2B5EF4-FFF2-40B4-BE49-F238E27FC236}">
                <a16:creationId xmlns:a16="http://schemas.microsoft.com/office/drawing/2014/main" id="{08253128-FBE5-BA0B-F058-A20F68CD3C13}"/>
              </a:ext>
            </a:extLst>
          </xdr:cNvPr>
          <xdr:cNvSpPr/>
        </xdr:nvSpPr>
        <xdr:spPr>
          <a:xfrm>
            <a:off x="205740" y="4434840"/>
            <a:ext cx="6948000" cy="34452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9" name="Chart 3">
            <a:extLst>
              <a:ext uri="{FF2B5EF4-FFF2-40B4-BE49-F238E27FC236}">
                <a16:creationId xmlns:a16="http://schemas.microsoft.com/office/drawing/2014/main" id="{C250792F-2A5E-4A25-305C-40F2AA881A15}"/>
              </a:ext>
            </a:extLst>
          </xdr:cNvPr>
          <xdr:cNvGraphicFramePr/>
        </xdr:nvGraphicFramePr>
        <xdr:xfrm>
          <a:off x="464820" y="4690110"/>
          <a:ext cx="6400800" cy="29196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12</xdr:col>
      <xdr:colOff>76200</xdr:colOff>
      <xdr:row>24</xdr:row>
      <xdr:rowOff>76200</xdr:rowOff>
    </xdr:from>
    <xdr:to>
      <xdr:col>23</xdr:col>
      <xdr:colOff>318600</xdr:colOff>
      <xdr:row>43</xdr:row>
      <xdr:rowOff>46680</xdr:rowOff>
    </xdr:to>
    <xdr:grpSp>
      <xdr:nvGrpSpPr>
        <xdr:cNvPr id="12" name="Group 11">
          <a:extLst>
            <a:ext uri="{FF2B5EF4-FFF2-40B4-BE49-F238E27FC236}">
              <a16:creationId xmlns:a16="http://schemas.microsoft.com/office/drawing/2014/main" id="{8881DF4F-4787-0992-5F94-932F0F6F63F1}"/>
            </a:ext>
          </a:extLst>
        </xdr:cNvPr>
        <xdr:cNvGrpSpPr/>
      </xdr:nvGrpSpPr>
      <xdr:grpSpPr>
        <a:xfrm>
          <a:off x="7455568" y="4567989"/>
          <a:ext cx="7006821" cy="3526480"/>
          <a:chOff x="7391400" y="4465320"/>
          <a:chExt cx="6948000" cy="3445200"/>
        </a:xfrm>
        <a:solidFill>
          <a:schemeClr val="accent1">
            <a:lumMod val="50000"/>
          </a:schemeClr>
        </a:solidFill>
      </xdr:grpSpPr>
      <xdr:sp macro="" textlink="">
        <xdr:nvSpPr>
          <xdr:cNvPr id="11" name="Rectangle: Rounded Corners 10">
            <a:extLst>
              <a:ext uri="{FF2B5EF4-FFF2-40B4-BE49-F238E27FC236}">
                <a16:creationId xmlns:a16="http://schemas.microsoft.com/office/drawing/2014/main" id="{96BD301A-2FA1-AF10-CA16-B9A89A11AEEA}"/>
              </a:ext>
            </a:extLst>
          </xdr:cNvPr>
          <xdr:cNvSpPr/>
        </xdr:nvSpPr>
        <xdr:spPr>
          <a:xfrm>
            <a:off x="7391400" y="4465320"/>
            <a:ext cx="6948000" cy="34452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0" name="Chart 4">
            <a:extLst>
              <a:ext uri="{FF2B5EF4-FFF2-40B4-BE49-F238E27FC236}">
                <a16:creationId xmlns:a16="http://schemas.microsoft.com/office/drawing/2014/main" id="{F132FA5B-100A-5CD5-FC76-99C97C0D2E05}"/>
              </a:ext>
            </a:extLst>
          </xdr:cNvPr>
          <xdr:cNvGraphicFramePr/>
        </xdr:nvGraphicFramePr>
        <xdr:xfrm>
          <a:off x="7627620" y="4705350"/>
          <a:ext cx="6400800" cy="29196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3</xdr:col>
      <xdr:colOff>381000</xdr:colOff>
      <xdr:row>25</xdr:row>
      <xdr:rowOff>137160</xdr:rowOff>
    </xdr:from>
    <xdr:to>
      <xdr:col>4</xdr:col>
      <xdr:colOff>152400</xdr:colOff>
      <xdr:row>27</xdr:row>
      <xdr:rowOff>152400</xdr:rowOff>
    </xdr:to>
    <xdr:pic>
      <xdr:nvPicPr>
        <xdr:cNvPr id="13" name="Graphic 12" descr="Star">
          <a:extLst>
            <a:ext uri="{FF2B5EF4-FFF2-40B4-BE49-F238E27FC236}">
              <a16:creationId xmlns:a16="http://schemas.microsoft.com/office/drawing/2014/main" id="{BC2A4706-895D-2164-97C6-3F94FB7F830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209800" y="4709160"/>
          <a:ext cx="381000" cy="381000"/>
        </a:xfrm>
        <a:prstGeom prst="rect">
          <a:avLst/>
        </a:prstGeom>
      </xdr:spPr>
    </xdr:pic>
    <xdr:clientData/>
  </xdr:twoCellAnchor>
  <xdr:twoCellAnchor editAs="oneCell">
    <xdr:from>
      <xdr:col>15</xdr:col>
      <xdr:colOff>152400</xdr:colOff>
      <xdr:row>26</xdr:row>
      <xdr:rowOff>22860</xdr:rowOff>
    </xdr:from>
    <xdr:to>
      <xdr:col>15</xdr:col>
      <xdr:colOff>480060</xdr:colOff>
      <xdr:row>27</xdr:row>
      <xdr:rowOff>167640</xdr:rowOff>
    </xdr:to>
    <xdr:pic>
      <xdr:nvPicPr>
        <xdr:cNvPr id="14" name="Graphic 1" descr="Bar graph with upward trend">
          <a:extLst>
            <a:ext uri="{FF2B5EF4-FFF2-40B4-BE49-F238E27FC236}">
              <a16:creationId xmlns:a16="http://schemas.microsoft.com/office/drawing/2014/main" id="{D6474A30-92F7-47A9-57B6-A4AAEE5C7D7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296400" y="4777740"/>
          <a:ext cx="327660" cy="327660"/>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0.225</cdr:x>
      <cdr:y>0.02089</cdr:y>
    </cdr:from>
    <cdr:to>
      <cdr:x>0.27619</cdr:x>
      <cdr:y>0.13316</cdr:y>
    </cdr:to>
    <cdr:pic>
      <cdr:nvPicPr>
        <cdr:cNvPr id="3" name="Graphic 2" descr="Bar graph with upward trend">
          <a:extLst xmlns:a="http://schemas.openxmlformats.org/drawingml/2006/main">
            <a:ext uri="{FF2B5EF4-FFF2-40B4-BE49-F238E27FC236}">
              <a16:creationId xmlns:a16="http://schemas.microsoft.com/office/drawing/2014/main" id="{2DF9817D-7BDF-7B91-8A19-0168F536332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440180" y="60960"/>
          <a:ext cx="327660" cy="327660"/>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0.23571</cdr:x>
      <cdr:y>0.00261</cdr:y>
    </cdr:from>
    <cdr:to>
      <cdr:x>0.30357</cdr:x>
      <cdr:y>0.15138</cdr:y>
    </cdr:to>
    <cdr:pic>
      <cdr:nvPicPr>
        <cdr:cNvPr id="3" name="Graphic 2" descr="Upward trend">
          <a:extLst xmlns:a="http://schemas.openxmlformats.org/drawingml/2006/main">
            <a:ext uri="{FF2B5EF4-FFF2-40B4-BE49-F238E27FC236}">
              <a16:creationId xmlns:a16="http://schemas.microsoft.com/office/drawing/2014/main" id="{7B744DF3-392B-DF10-6DF6-5192365F944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508760" y="7620"/>
          <a:ext cx="434340" cy="43434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15240</xdr:rowOff>
    </xdr:from>
    <xdr:to>
      <xdr:col>25</xdr:col>
      <xdr:colOff>342900</xdr:colOff>
      <xdr:row>3</xdr:row>
      <xdr:rowOff>152400</xdr:rowOff>
    </xdr:to>
    <xdr:sp macro="" textlink="">
      <xdr:nvSpPr>
        <xdr:cNvPr id="2" name="Rectangle 1">
          <a:extLst>
            <a:ext uri="{FF2B5EF4-FFF2-40B4-BE49-F238E27FC236}">
              <a16:creationId xmlns:a16="http://schemas.microsoft.com/office/drawing/2014/main" id="{F4BDF5E5-0104-44AF-BC61-34C2AFAA44C6}"/>
            </a:ext>
          </a:extLst>
        </xdr:cNvPr>
        <xdr:cNvSpPr/>
      </xdr:nvSpPr>
      <xdr:spPr>
        <a:xfrm>
          <a:off x="0" y="15240"/>
          <a:ext cx="15582900" cy="68580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22860</xdr:colOff>
      <xdr:row>0</xdr:row>
      <xdr:rowOff>167640</xdr:rowOff>
    </xdr:from>
    <xdr:to>
      <xdr:col>16</xdr:col>
      <xdr:colOff>579120</xdr:colOff>
      <xdr:row>3</xdr:row>
      <xdr:rowOff>38100</xdr:rowOff>
    </xdr:to>
    <xdr:sp macro="" textlink="">
      <xdr:nvSpPr>
        <xdr:cNvPr id="3" name="TextBox 2">
          <a:extLst>
            <a:ext uri="{FF2B5EF4-FFF2-40B4-BE49-F238E27FC236}">
              <a16:creationId xmlns:a16="http://schemas.microsoft.com/office/drawing/2014/main" id="{83982985-BC5D-45DD-B0E8-0060BEEF3B3E}"/>
            </a:ext>
          </a:extLst>
        </xdr:cNvPr>
        <xdr:cNvSpPr txBox="1"/>
      </xdr:nvSpPr>
      <xdr:spPr>
        <a:xfrm>
          <a:off x="4290060" y="167640"/>
          <a:ext cx="604266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i="1">
              <a:solidFill>
                <a:schemeClr val="bg1"/>
              </a:solidFill>
            </a:rPr>
            <a:t>Industry Analysis</a:t>
          </a:r>
        </a:p>
      </xdr:txBody>
    </xdr:sp>
    <xdr:clientData/>
  </xdr:twoCellAnchor>
  <xdr:twoCellAnchor>
    <xdr:from>
      <xdr:col>12</xdr:col>
      <xdr:colOff>6180</xdr:colOff>
      <xdr:row>4</xdr:row>
      <xdr:rowOff>76200</xdr:rowOff>
    </xdr:from>
    <xdr:to>
      <xdr:col>23</xdr:col>
      <xdr:colOff>250020</xdr:colOff>
      <xdr:row>23</xdr:row>
      <xdr:rowOff>45720</xdr:rowOff>
    </xdr:to>
    <xdr:grpSp>
      <xdr:nvGrpSpPr>
        <xdr:cNvPr id="19" name="Group 18">
          <a:extLst>
            <a:ext uri="{FF2B5EF4-FFF2-40B4-BE49-F238E27FC236}">
              <a16:creationId xmlns:a16="http://schemas.microsoft.com/office/drawing/2014/main" id="{FF4B8C1B-98DF-8BBF-2EDA-3F4EF0BCEEEA}"/>
            </a:ext>
          </a:extLst>
        </xdr:cNvPr>
        <xdr:cNvGrpSpPr/>
      </xdr:nvGrpSpPr>
      <xdr:grpSpPr>
        <a:xfrm>
          <a:off x="7385548" y="824832"/>
          <a:ext cx="7008261" cy="3525520"/>
          <a:chOff x="129540" y="807720"/>
          <a:chExt cx="6949440" cy="3444240"/>
        </a:xfrm>
      </xdr:grpSpPr>
      <xdr:sp macro="" textlink="">
        <xdr:nvSpPr>
          <xdr:cNvPr id="5" name="Rectangle: Rounded Corners 4">
            <a:extLst>
              <a:ext uri="{FF2B5EF4-FFF2-40B4-BE49-F238E27FC236}">
                <a16:creationId xmlns:a16="http://schemas.microsoft.com/office/drawing/2014/main" id="{01DEC330-B55C-7EA1-3AE0-BC42F719468C}"/>
              </a:ext>
            </a:extLst>
          </xdr:cNvPr>
          <xdr:cNvSpPr/>
        </xdr:nvSpPr>
        <xdr:spPr>
          <a:xfrm>
            <a:off x="129540" y="807720"/>
            <a:ext cx="6949440" cy="34442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6" name="Chart 1">
            <a:extLst>
              <a:ext uri="{FF2B5EF4-FFF2-40B4-BE49-F238E27FC236}">
                <a16:creationId xmlns:a16="http://schemas.microsoft.com/office/drawing/2014/main" id="{D645014C-5185-4EE7-0B96-5135B6EAA8C6}"/>
              </a:ext>
            </a:extLst>
          </xdr:cNvPr>
          <xdr:cNvGraphicFramePr/>
        </xdr:nvGraphicFramePr>
        <xdr:xfrm>
          <a:off x="388620" y="1078230"/>
          <a:ext cx="6400800" cy="291960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12</xdr:col>
      <xdr:colOff>7620</xdr:colOff>
      <xdr:row>24</xdr:row>
      <xdr:rowOff>144780</xdr:rowOff>
    </xdr:from>
    <xdr:to>
      <xdr:col>23</xdr:col>
      <xdr:colOff>250020</xdr:colOff>
      <xdr:row>43</xdr:row>
      <xdr:rowOff>115260</xdr:rowOff>
    </xdr:to>
    <xdr:grpSp>
      <xdr:nvGrpSpPr>
        <xdr:cNvPr id="20" name="Group 19">
          <a:extLst>
            <a:ext uri="{FF2B5EF4-FFF2-40B4-BE49-F238E27FC236}">
              <a16:creationId xmlns:a16="http://schemas.microsoft.com/office/drawing/2014/main" id="{7740992E-CD92-395D-62C7-D3D1C5D259B0}"/>
            </a:ext>
          </a:extLst>
        </xdr:cNvPr>
        <xdr:cNvGrpSpPr/>
      </xdr:nvGrpSpPr>
      <xdr:grpSpPr>
        <a:xfrm>
          <a:off x="7386988" y="4636569"/>
          <a:ext cx="7006821" cy="3526480"/>
          <a:chOff x="7391400" y="845820"/>
          <a:chExt cx="6948000" cy="3445200"/>
        </a:xfrm>
      </xdr:grpSpPr>
      <xdr:sp macro="" textlink="">
        <xdr:nvSpPr>
          <xdr:cNvPr id="8" name="Rectangle: Rounded Corners 7">
            <a:extLst>
              <a:ext uri="{FF2B5EF4-FFF2-40B4-BE49-F238E27FC236}">
                <a16:creationId xmlns:a16="http://schemas.microsoft.com/office/drawing/2014/main" id="{A3FD80B7-3C65-33F1-FAB3-E2E91C696D05}"/>
              </a:ext>
            </a:extLst>
          </xdr:cNvPr>
          <xdr:cNvSpPr/>
        </xdr:nvSpPr>
        <xdr:spPr>
          <a:xfrm>
            <a:off x="7391400" y="845820"/>
            <a:ext cx="6948000" cy="34452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7" name="Chart 2">
            <a:extLst>
              <a:ext uri="{FF2B5EF4-FFF2-40B4-BE49-F238E27FC236}">
                <a16:creationId xmlns:a16="http://schemas.microsoft.com/office/drawing/2014/main" id="{FC4BE283-7712-8DE1-2F68-DD3B0B3EBDCB}"/>
              </a:ext>
            </a:extLst>
          </xdr:cNvPr>
          <xdr:cNvGraphicFramePr/>
        </xdr:nvGraphicFramePr>
        <xdr:xfrm>
          <a:off x="7658100" y="1093470"/>
          <a:ext cx="6400800" cy="29196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0</xdr:col>
      <xdr:colOff>122640</xdr:colOff>
      <xdr:row>24</xdr:row>
      <xdr:rowOff>144780</xdr:rowOff>
    </xdr:from>
    <xdr:to>
      <xdr:col>11</xdr:col>
      <xdr:colOff>365040</xdr:colOff>
      <xdr:row>43</xdr:row>
      <xdr:rowOff>115260</xdr:rowOff>
    </xdr:to>
    <xdr:grpSp>
      <xdr:nvGrpSpPr>
        <xdr:cNvPr id="21" name="Group 20">
          <a:extLst>
            <a:ext uri="{FF2B5EF4-FFF2-40B4-BE49-F238E27FC236}">
              <a16:creationId xmlns:a16="http://schemas.microsoft.com/office/drawing/2014/main" id="{4F4AD603-C29A-E742-B501-7B60B0EA5CDB}"/>
            </a:ext>
          </a:extLst>
        </xdr:cNvPr>
        <xdr:cNvGrpSpPr/>
      </xdr:nvGrpSpPr>
      <xdr:grpSpPr>
        <a:xfrm>
          <a:off x="122640" y="4636569"/>
          <a:ext cx="7006821" cy="3526480"/>
          <a:chOff x="129540" y="4434840"/>
          <a:chExt cx="6948000" cy="3445200"/>
        </a:xfrm>
      </xdr:grpSpPr>
      <xdr:sp macro="" textlink="">
        <xdr:nvSpPr>
          <xdr:cNvPr id="11" name="Rectangle: Rounded Corners 10">
            <a:extLst>
              <a:ext uri="{FF2B5EF4-FFF2-40B4-BE49-F238E27FC236}">
                <a16:creationId xmlns:a16="http://schemas.microsoft.com/office/drawing/2014/main" id="{3BB1301F-56B5-2BE3-5C77-5D1178F7B2E7}"/>
              </a:ext>
            </a:extLst>
          </xdr:cNvPr>
          <xdr:cNvSpPr/>
        </xdr:nvSpPr>
        <xdr:spPr>
          <a:xfrm>
            <a:off x="129540" y="4434840"/>
            <a:ext cx="6948000" cy="34452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8" name="Chart 3">
            <a:extLst>
              <a:ext uri="{FF2B5EF4-FFF2-40B4-BE49-F238E27FC236}">
                <a16:creationId xmlns:a16="http://schemas.microsoft.com/office/drawing/2014/main" id="{7F564737-7724-8B16-5D25-FE472560FC00}"/>
              </a:ext>
            </a:extLst>
          </xdr:cNvPr>
          <xdr:cNvGraphicFramePr/>
        </xdr:nvGraphicFramePr>
        <xdr:xfrm>
          <a:off x="388620" y="4667250"/>
          <a:ext cx="6400800" cy="29196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absolute">
    <xdr:from>
      <xdr:col>0</xdr:col>
      <xdr:colOff>122640</xdr:colOff>
      <xdr:row>5</xdr:row>
      <xdr:rowOff>0</xdr:rowOff>
    </xdr:from>
    <xdr:to>
      <xdr:col>3</xdr:col>
      <xdr:colOff>122640</xdr:colOff>
      <xdr:row>18</xdr:row>
      <xdr:rowOff>89535</xdr:rowOff>
    </xdr:to>
    <mc:AlternateContent xmlns:mc="http://schemas.openxmlformats.org/markup-compatibility/2006">
      <mc:Choice xmlns:a14="http://schemas.microsoft.com/office/drawing/2010/main" Requires="a14">
        <xdr:graphicFrame macro="">
          <xdr:nvGraphicFramePr>
            <xdr:cNvPr id="23" name="Industry 1">
              <a:extLst>
                <a:ext uri="{FF2B5EF4-FFF2-40B4-BE49-F238E27FC236}">
                  <a16:creationId xmlns:a16="http://schemas.microsoft.com/office/drawing/2014/main" id="{94ABA705-6C9B-8FE9-8385-7891CDC1A615}"/>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dr:sp macro="" textlink="">
          <xdr:nvSpPr>
            <xdr:cNvPr id="0" name=""/>
            <xdr:cNvSpPr>
              <a:spLocks noTextEdit="1"/>
            </xdr:cNvSpPr>
          </xdr:nvSpPr>
          <xdr:spPr>
            <a:xfrm>
              <a:off x="122640" y="935789"/>
              <a:ext cx="1844842" cy="2522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113580</xdr:colOff>
      <xdr:row>4</xdr:row>
      <xdr:rowOff>160020</xdr:rowOff>
    </xdr:from>
    <xdr:to>
      <xdr:col>9</xdr:col>
      <xdr:colOff>113580</xdr:colOff>
      <xdr:row>18</xdr:row>
      <xdr:rowOff>66675</xdr:rowOff>
    </xdr:to>
    <mc:AlternateContent xmlns:mc="http://schemas.openxmlformats.org/markup-compatibility/2006">
      <mc:Choice xmlns:a14="http://schemas.microsoft.com/office/drawing/2010/main" Requires="a14">
        <xdr:graphicFrame macro="">
          <xdr:nvGraphicFramePr>
            <xdr:cNvPr id="24" name="Year">
              <a:extLst>
                <a:ext uri="{FF2B5EF4-FFF2-40B4-BE49-F238E27FC236}">
                  <a16:creationId xmlns:a16="http://schemas.microsoft.com/office/drawing/2014/main" id="{FBBE5200-E1D2-ED1C-E813-22F1D594248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803264" y="908652"/>
              <a:ext cx="1844842" cy="25268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509100</xdr:colOff>
      <xdr:row>6</xdr:row>
      <xdr:rowOff>15240</xdr:rowOff>
    </xdr:from>
    <xdr:to>
      <xdr:col>15</xdr:col>
      <xdr:colOff>304800</xdr:colOff>
      <xdr:row>8</xdr:row>
      <xdr:rowOff>54780</xdr:rowOff>
    </xdr:to>
    <xdr:pic>
      <xdr:nvPicPr>
        <xdr:cNvPr id="4" name="Graphic 1" descr="Bar graph with upward trend">
          <a:extLst>
            <a:ext uri="{FF2B5EF4-FFF2-40B4-BE49-F238E27FC236}">
              <a16:creationId xmlns:a16="http://schemas.microsoft.com/office/drawing/2014/main" id="{D6474A30-92F7-47A9-57B6-A4AAEE5C7D7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043500" y="1112520"/>
          <a:ext cx="405300" cy="405300"/>
        </a:xfrm>
        <a:prstGeom prst="rect">
          <a:avLst/>
        </a:prstGeom>
      </xdr:spPr>
    </xdr:pic>
    <xdr:clientData/>
  </xdr:twoCellAnchor>
  <xdr:twoCellAnchor editAs="oneCell">
    <xdr:from>
      <xdr:col>3</xdr:col>
      <xdr:colOff>388620</xdr:colOff>
      <xdr:row>26</xdr:row>
      <xdr:rowOff>45720</xdr:rowOff>
    </xdr:from>
    <xdr:to>
      <xdr:col>4</xdr:col>
      <xdr:colOff>129540</xdr:colOff>
      <xdr:row>28</xdr:row>
      <xdr:rowOff>30480</xdr:rowOff>
    </xdr:to>
    <xdr:pic>
      <xdr:nvPicPr>
        <xdr:cNvPr id="7" name="Graphic 6" descr="Upward trend">
          <a:extLst>
            <a:ext uri="{FF2B5EF4-FFF2-40B4-BE49-F238E27FC236}">
              <a16:creationId xmlns:a16="http://schemas.microsoft.com/office/drawing/2014/main" id="{7C23FC3D-6EA4-569F-DD63-C23282DE12D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217420" y="4800600"/>
          <a:ext cx="350520" cy="350520"/>
        </a:xfrm>
        <a:prstGeom prst="rect">
          <a:avLst/>
        </a:prstGeom>
      </xdr:spPr>
    </xdr:pic>
    <xdr:clientData/>
  </xdr:twoCellAnchor>
  <xdr:twoCellAnchor editAs="oneCell">
    <xdr:from>
      <xdr:col>15</xdr:col>
      <xdr:colOff>403860</xdr:colOff>
      <xdr:row>26</xdr:row>
      <xdr:rowOff>76200</xdr:rowOff>
    </xdr:from>
    <xdr:to>
      <xdr:col>16</xdr:col>
      <xdr:colOff>175260</xdr:colOff>
      <xdr:row>28</xdr:row>
      <xdr:rowOff>91440</xdr:rowOff>
    </xdr:to>
    <xdr:pic>
      <xdr:nvPicPr>
        <xdr:cNvPr id="10" name="Graphic 9" descr="Rupee">
          <a:extLst>
            <a:ext uri="{FF2B5EF4-FFF2-40B4-BE49-F238E27FC236}">
              <a16:creationId xmlns:a16="http://schemas.microsoft.com/office/drawing/2014/main" id="{53DF545C-9566-331E-59F1-3CD6F8A86C2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547860" y="4831080"/>
          <a:ext cx="381000" cy="381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15240</xdr:rowOff>
    </xdr:from>
    <xdr:to>
      <xdr:col>25</xdr:col>
      <xdr:colOff>342900</xdr:colOff>
      <xdr:row>3</xdr:row>
      <xdr:rowOff>152400</xdr:rowOff>
    </xdr:to>
    <xdr:sp macro="" textlink="">
      <xdr:nvSpPr>
        <xdr:cNvPr id="2" name="Rectangle 1">
          <a:extLst>
            <a:ext uri="{FF2B5EF4-FFF2-40B4-BE49-F238E27FC236}">
              <a16:creationId xmlns:a16="http://schemas.microsoft.com/office/drawing/2014/main" id="{8F95861F-0611-466F-B9BE-1A02C45D4AB1}"/>
            </a:ext>
          </a:extLst>
        </xdr:cNvPr>
        <xdr:cNvSpPr/>
      </xdr:nvSpPr>
      <xdr:spPr>
        <a:xfrm>
          <a:off x="0" y="15240"/>
          <a:ext cx="15582900" cy="68580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22860</xdr:colOff>
      <xdr:row>0</xdr:row>
      <xdr:rowOff>167640</xdr:rowOff>
    </xdr:from>
    <xdr:to>
      <xdr:col>16</xdr:col>
      <xdr:colOff>579120</xdr:colOff>
      <xdr:row>3</xdr:row>
      <xdr:rowOff>38100</xdr:rowOff>
    </xdr:to>
    <xdr:sp macro="" textlink="">
      <xdr:nvSpPr>
        <xdr:cNvPr id="3" name="TextBox 2">
          <a:extLst>
            <a:ext uri="{FF2B5EF4-FFF2-40B4-BE49-F238E27FC236}">
              <a16:creationId xmlns:a16="http://schemas.microsoft.com/office/drawing/2014/main" id="{0FE711B9-60B7-4C07-BA9E-FDBCF47409A5}"/>
            </a:ext>
          </a:extLst>
        </xdr:cNvPr>
        <xdr:cNvSpPr txBox="1"/>
      </xdr:nvSpPr>
      <xdr:spPr>
        <a:xfrm>
          <a:off x="4290060" y="167640"/>
          <a:ext cx="604266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i="1">
              <a:solidFill>
                <a:schemeClr val="bg1"/>
              </a:solidFill>
            </a:rPr>
            <a:t>Actor Insights</a:t>
          </a:r>
        </a:p>
      </xdr:txBody>
    </xdr:sp>
    <xdr:clientData/>
  </xdr:twoCellAnchor>
  <xdr:twoCellAnchor>
    <xdr:from>
      <xdr:col>0</xdr:col>
      <xdr:colOff>76200</xdr:colOff>
      <xdr:row>4</xdr:row>
      <xdr:rowOff>76200</xdr:rowOff>
    </xdr:from>
    <xdr:to>
      <xdr:col>23</xdr:col>
      <xdr:colOff>357420</xdr:colOff>
      <xdr:row>23</xdr:row>
      <xdr:rowOff>45720</xdr:rowOff>
    </xdr:to>
    <xdr:sp macro="" textlink="">
      <xdr:nvSpPr>
        <xdr:cNvPr id="5" name="Rectangle: Rounded Corners 4">
          <a:extLst>
            <a:ext uri="{FF2B5EF4-FFF2-40B4-BE49-F238E27FC236}">
              <a16:creationId xmlns:a16="http://schemas.microsoft.com/office/drawing/2014/main" id="{631F85A5-CAD4-8945-20DE-AD792CD7403A}"/>
            </a:ext>
          </a:extLst>
        </xdr:cNvPr>
        <xdr:cNvSpPr/>
      </xdr:nvSpPr>
      <xdr:spPr>
        <a:xfrm>
          <a:off x="76200" y="807720"/>
          <a:ext cx="14302020" cy="34442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320040</xdr:colOff>
      <xdr:row>6</xdr:row>
      <xdr:rowOff>3810</xdr:rowOff>
    </xdr:from>
    <xdr:to>
      <xdr:col>23</xdr:col>
      <xdr:colOff>99060</xdr:colOff>
      <xdr:row>21</xdr:row>
      <xdr:rowOff>180210</xdr:rowOff>
    </xdr:to>
    <xdr:graphicFrame macro="">
      <xdr:nvGraphicFramePr>
        <xdr:cNvPr id="15" name="Chart 1">
          <a:extLst>
            <a:ext uri="{FF2B5EF4-FFF2-40B4-BE49-F238E27FC236}">
              <a16:creationId xmlns:a16="http://schemas.microsoft.com/office/drawing/2014/main" id="{7D461638-8B80-2E86-623A-9E1B7D590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115020</xdr:colOff>
      <xdr:row>24</xdr:row>
      <xdr:rowOff>137160</xdr:rowOff>
    </xdr:from>
    <xdr:to>
      <xdr:col>23</xdr:col>
      <xdr:colOff>357420</xdr:colOff>
      <xdr:row>43</xdr:row>
      <xdr:rowOff>107640</xdr:rowOff>
    </xdr:to>
    <xdr:grpSp>
      <xdr:nvGrpSpPr>
        <xdr:cNvPr id="22" name="Group 21">
          <a:extLst>
            <a:ext uri="{FF2B5EF4-FFF2-40B4-BE49-F238E27FC236}">
              <a16:creationId xmlns:a16="http://schemas.microsoft.com/office/drawing/2014/main" id="{A81F099A-EE19-1D01-9482-13C62E301C05}"/>
            </a:ext>
          </a:extLst>
        </xdr:cNvPr>
        <xdr:cNvGrpSpPr/>
      </xdr:nvGrpSpPr>
      <xdr:grpSpPr>
        <a:xfrm>
          <a:off x="7500558" y="4357468"/>
          <a:ext cx="7012477" cy="3311557"/>
          <a:chOff x="7430220" y="4526280"/>
          <a:chExt cx="6948000" cy="3445200"/>
        </a:xfrm>
      </xdr:grpSpPr>
      <xdr:sp macro="" textlink="">
        <xdr:nvSpPr>
          <xdr:cNvPr id="20" name="Rectangle: Rounded Corners 19">
            <a:extLst>
              <a:ext uri="{FF2B5EF4-FFF2-40B4-BE49-F238E27FC236}">
                <a16:creationId xmlns:a16="http://schemas.microsoft.com/office/drawing/2014/main" id="{173340A4-27D0-4A4D-9858-C3AA62ABC38D}"/>
              </a:ext>
            </a:extLst>
          </xdr:cNvPr>
          <xdr:cNvSpPr/>
        </xdr:nvSpPr>
        <xdr:spPr>
          <a:xfrm>
            <a:off x="7430220" y="4526280"/>
            <a:ext cx="6948000" cy="34452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7" name="Chart 4">
            <a:extLst>
              <a:ext uri="{FF2B5EF4-FFF2-40B4-BE49-F238E27FC236}">
                <a16:creationId xmlns:a16="http://schemas.microsoft.com/office/drawing/2014/main" id="{F71BF667-B618-757A-A3B4-F8B30FC43E19}"/>
              </a:ext>
            </a:extLst>
          </xdr:cNvPr>
          <xdr:cNvGraphicFramePr/>
        </xdr:nvGraphicFramePr>
        <xdr:xfrm>
          <a:off x="7711440" y="4777740"/>
          <a:ext cx="6416040" cy="29196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0</xdr:col>
      <xdr:colOff>76200</xdr:colOff>
      <xdr:row>24</xdr:row>
      <xdr:rowOff>106680</xdr:rowOff>
    </xdr:from>
    <xdr:to>
      <xdr:col>11</xdr:col>
      <xdr:colOff>318600</xdr:colOff>
      <xdr:row>43</xdr:row>
      <xdr:rowOff>77160</xdr:rowOff>
    </xdr:to>
    <xdr:grpSp>
      <xdr:nvGrpSpPr>
        <xdr:cNvPr id="32" name="Group 31">
          <a:extLst>
            <a:ext uri="{FF2B5EF4-FFF2-40B4-BE49-F238E27FC236}">
              <a16:creationId xmlns:a16="http://schemas.microsoft.com/office/drawing/2014/main" id="{92433A44-FC24-C4A2-A64B-D08EBD5B4A42}"/>
            </a:ext>
          </a:extLst>
        </xdr:cNvPr>
        <xdr:cNvGrpSpPr/>
      </xdr:nvGrpSpPr>
      <xdr:grpSpPr>
        <a:xfrm>
          <a:off x="76200" y="4326988"/>
          <a:ext cx="7012477" cy="3311557"/>
          <a:chOff x="153120" y="746760"/>
          <a:chExt cx="6948000" cy="3445200"/>
        </a:xfrm>
      </xdr:grpSpPr>
      <xdr:sp macro="" textlink="">
        <xdr:nvSpPr>
          <xdr:cNvPr id="28" name="Rectangle: Rounded Corners 27">
            <a:extLst>
              <a:ext uri="{FF2B5EF4-FFF2-40B4-BE49-F238E27FC236}">
                <a16:creationId xmlns:a16="http://schemas.microsoft.com/office/drawing/2014/main" id="{9364BBF1-9CC3-4F6D-8441-9A6611A588DF}"/>
              </a:ext>
            </a:extLst>
          </xdr:cNvPr>
          <xdr:cNvSpPr/>
        </xdr:nvSpPr>
        <xdr:spPr>
          <a:xfrm>
            <a:off x="153120" y="746760"/>
            <a:ext cx="6948000" cy="34452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1" name="Chart 7">
            <a:extLst>
              <a:ext uri="{FF2B5EF4-FFF2-40B4-BE49-F238E27FC236}">
                <a16:creationId xmlns:a16="http://schemas.microsoft.com/office/drawing/2014/main" id="{1DF6D879-56F9-4A89-BC8D-0A7A67BA66B8}"/>
              </a:ext>
            </a:extLst>
          </xdr:cNvPr>
          <xdr:cNvGraphicFramePr>
            <a:graphicFrameLocks/>
          </xdr:cNvGraphicFramePr>
        </xdr:nvGraphicFramePr>
        <xdr:xfrm>
          <a:off x="427440" y="1082040"/>
          <a:ext cx="6400800" cy="29196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oneCell">
    <xdr:from>
      <xdr:col>3</xdr:col>
      <xdr:colOff>480060</xdr:colOff>
      <xdr:row>26</xdr:row>
      <xdr:rowOff>60960</xdr:rowOff>
    </xdr:from>
    <xdr:to>
      <xdr:col>4</xdr:col>
      <xdr:colOff>365760</xdr:colOff>
      <xdr:row>29</xdr:row>
      <xdr:rowOff>7620</xdr:rowOff>
    </xdr:to>
    <xdr:pic>
      <xdr:nvPicPr>
        <xdr:cNvPr id="6" name="Graphic 5" descr="Group success">
          <a:extLst>
            <a:ext uri="{FF2B5EF4-FFF2-40B4-BE49-F238E27FC236}">
              <a16:creationId xmlns:a16="http://schemas.microsoft.com/office/drawing/2014/main" id="{05E90316-D2D3-52FF-86C4-86DE8AB7B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308860" y="4815840"/>
          <a:ext cx="495300" cy="495300"/>
        </a:xfrm>
        <a:prstGeom prst="rect">
          <a:avLst/>
        </a:prstGeom>
      </xdr:spPr>
    </xdr:pic>
    <xdr:clientData/>
  </xdr:twoCellAnchor>
  <xdr:twoCellAnchor editAs="oneCell">
    <xdr:from>
      <xdr:col>14</xdr:col>
      <xdr:colOff>480060</xdr:colOff>
      <xdr:row>26</xdr:row>
      <xdr:rowOff>53340</xdr:rowOff>
    </xdr:from>
    <xdr:to>
      <xdr:col>15</xdr:col>
      <xdr:colOff>358140</xdr:colOff>
      <xdr:row>28</xdr:row>
      <xdr:rowOff>175260</xdr:rowOff>
    </xdr:to>
    <xdr:pic>
      <xdr:nvPicPr>
        <xdr:cNvPr id="8" name="Graphic 7" descr="Lightning bolt">
          <a:extLst>
            <a:ext uri="{FF2B5EF4-FFF2-40B4-BE49-F238E27FC236}">
              <a16:creationId xmlns:a16="http://schemas.microsoft.com/office/drawing/2014/main" id="{1AA59155-D4EB-AB2D-BB11-FE1DBF9E772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014460" y="4808220"/>
          <a:ext cx="487680" cy="487680"/>
        </a:xfrm>
        <a:prstGeom prst="rect">
          <a:avLst/>
        </a:prstGeom>
      </xdr:spPr>
    </xdr:pic>
    <xdr:clientData/>
  </xdr:twoCellAnchor>
</xdr:wsDr>
</file>

<file path=xl/drawings/drawing8.xml><?xml version="1.0" encoding="utf-8"?>
<c:userShapes xmlns:c="http://schemas.openxmlformats.org/drawingml/2006/chart">
  <cdr:relSizeAnchor xmlns:cdr="http://schemas.openxmlformats.org/drawingml/2006/chartDrawing">
    <cdr:from>
      <cdr:x>0.3753</cdr:x>
      <cdr:y>0.01479</cdr:y>
    </cdr:from>
    <cdr:to>
      <cdr:x>0.41064</cdr:x>
      <cdr:y>0.18183</cdr:y>
    </cdr:to>
    <cdr:pic>
      <cdr:nvPicPr>
        <cdr:cNvPr id="2" name="Graphic 7" descr="Lightning bolt">
          <a:extLst xmlns:a="http://schemas.openxmlformats.org/drawingml/2006/main">
            <a:ext uri="{FF2B5EF4-FFF2-40B4-BE49-F238E27FC236}">
              <a16:creationId xmlns:a16="http://schemas.microsoft.com/office/drawing/2014/main" id="{1AA59155-D4EB-AB2D-BB11-FE1DBF9E772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5179060" y="43180"/>
          <a:ext cx="487680" cy="487680"/>
        </a:xfrm>
        <a:prstGeom xmlns:a="http://schemas.openxmlformats.org/drawingml/2006/main" prst="rect">
          <a:avLst/>
        </a:prstGeom>
      </cdr:spPr>
    </cdr:pic>
  </cdr:relSizeAnchor>
</c:userShapes>
</file>

<file path=xl/drawings/drawing9.xml><?xml version="1.0" encoding="utf-8"?>
<xdr:wsDr xmlns:xdr="http://schemas.openxmlformats.org/drawingml/2006/spreadsheetDrawing" xmlns:a="http://schemas.openxmlformats.org/drawingml/2006/main">
  <xdr:twoCellAnchor>
    <xdr:from>
      <xdr:col>0</xdr:col>
      <xdr:colOff>0</xdr:colOff>
      <xdr:row>0</xdr:row>
      <xdr:rowOff>15240</xdr:rowOff>
    </xdr:from>
    <xdr:to>
      <xdr:col>25</xdr:col>
      <xdr:colOff>342900</xdr:colOff>
      <xdr:row>3</xdr:row>
      <xdr:rowOff>152400</xdr:rowOff>
    </xdr:to>
    <xdr:sp macro="" textlink="">
      <xdr:nvSpPr>
        <xdr:cNvPr id="2" name="Rectangle 1">
          <a:extLst>
            <a:ext uri="{FF2B5EF4-FFF2-40B4-BE49-F238E27FC236}">
              <a16:creationId xmlns:a16="http://schemas.microsoft.com/office/drawing/2014/main" id="{33BF1239-4CA1-49C5-A801-C9B74339A071}"/>
            </a:ext>
          </a:extLst>
        </xdr:cNvPr>
        <xdr:cNvSpPr/>
      </xdr:nvSpPr>
      <xdr:spPr>
        <a:xfrm>
          <a:off x="0" y="15240"/>
          <a:ext cx="15582900" cy="68580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22860</xdr:colOff>
      <xdr:row>0</xdr:row>
      <xdr:rowOff>167640</xdr:rowOff>
    </xdr:from>
    <xdr:to>
      <xdr:col>16</xdr:col>
      <xdr:colOff>579120</xdr:colOff>
      <xdr:row>3</xdr:row>
      <xdr:rowOff>38100</xdr:rowOff>
    </xdr:to>
    <xdr:sp macro="" textlink="">
      <xdr:nvSpPr>
        <xdr:cNvPr id="3" name="TextBox 2">
          <a:extLst>
            <a:ext uri="{FF2B5EF4-FFF2-40B4-BE49-F238E27FC236}">
              <a16:creationId xmlns:a16="http://schemas.microsoft.com/office/drawing/2014/main" id="{27335D00-8CD8-4220-8900-E77E172BC5C7}"/>
            </a:ext>
          </a:extLst>
        </xdr:cNvPr>
        <xdr:cNvSpPr txBox="1"/>
      </xdr:nvSpPr>
      <xdr:spPr>
        <a:xfrm>
          <a:off x="4290060" y="167640"/>
          <a:ext cx="604266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i="1">
              <a:solidFill>
                <a:schemeClr val="bg1"/>
              </a:solidFill>
            </a:rPr>
            <a:t>Trends &amp; Times</a:t>
          </a:r>
        </a:p>
      </xdr:txBody>
    </xdr:sp>
    <xdr:clientData/>
  </xdr:twoCellAnchor>
  <xdr:twoCellAnchor>
    <xdr:from>
      <xdr:col>0</xdr:col>
      <xdr:colOff>122640</xdr:colOff>
      <xdr:row>5</xdr:row>
      <xdr:rowOff>76200</xdr:rowOff>
    </xdr:from>
    <xdr:to>
      <xdr:col>11</xdr:col>
      <xdr:colOff>365040</xdr:colOff>
      <xdr:row>24</xdr:row>
      <xdr:rowOff>46680</xdr:rowOff>
    </xdr:to>
    <xdr:grpSp>
      <xdr:nvGrpSpPr>
        <xdr:cNvPr id="17" name="Group 16">
          <a:extLst>
            <a:ext uri="{FF2B5EF4-FFF2-40B4-BE49-F238E27FC236}">
              <a16:creationId xmlns:a16="http://schemas.microsoft.com/office/drawing/2014/main" id="{D8D5D012-340C-1692-9D20-02388591943D}"/>
            </a:ext>
          </a:extLst>
        </xdr:cNvPr>
        <xdr:cNvGrpSpPr/>
      </xdr:nvGrpSpPr>
      <xdr:grpSpPr>
        <a:xfrm>
          <a:off x="122640" y="969904"/>
          <a:ext cx="6968696" cy="3366554"/>
          <a:chOff x="122640" y="990600"/>
          <a:chExt cx="6948000" cy="3445200"/>
        </a:xfrm>
      </xdr:grpSpPr>
      <xdr:sp macro="" textlink="">
        <xdr:nvSpPr>
          <xdr:cNvPr id="11" name="Rectangle: Rounded Corners 10">
            <a:extLst>
              <a:ext uri="{FF2B5EF4-FFF2-40B4-BE49-F238E27FC236}">
                <a16:creationId xmlns:a16="http://schemas.microsoft.com/office/drawing/2014/main" id="{49657D68-DEFC-89CB-5472-4D29CCC82C8B}"/>
              </a:ext>
            </a:extLst>
          </xdr:cNvPr>
          <xdr:cNvSpPr/>
        </xdr:nvSpPr>
        <xdr:spPr>
          <a:xfrm>
            <a:off x="122640" y="990600"/>
            <a:ext cx="6948000" cy="34452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5" name="Chart 1">
            <a:extLst>
              <a:ext uri="{FF2B5EF4-FFF2-40B4-BE49-F238E27FC236}">
                <a16:creationId xmlns:a16="http://schemas.microsoft.com/office/drawing/2014/main" id="{67782897-3B48-7C98-0410-B596AD45267D}"/>
              </a:ext>
            </a:extLst>
          </xdr:cNvPr>
          <xdr:cNvGraphicFramePr/>
        </xdr:nvGraphicFramePr>
        <xdr:xfrm>
          <a:off x="518160" y="1245870"/>
          <a:ext cx="6126480" cy="288417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12</xdr:col>
      <xdr:colOff>76200</xdr:colOff>
      <xdr:row>5</xdr:row>
      <xdr:rowOff>76200</xdr:rowOff>
    </xdr:from>
    <xdr:to>
      <xdr:col>23</xdr:col>
      <xdr:colOff>318600</xdr:colOff>
      <xdr:row>24</xdr:row>
      <xdr:rowOff>46680</xdr:rowOff>
    </xdr:to>
    <xdr:grpSp>
      <xdr:nvGrpSpPr>
        <xdr:cNvPr id="18" name="Group 17">
          <a:extLst>
            <a:ext uri="{FF2B5EF4-FFF2-40B4-BE49-F238E27FC236}">
              <a16:creationId xmlns:a16="http://schemas.microsoft.com/office/drawing/2014/main" id="{383309AC-B5FE-9B0E-BC83-6A512373B6DF}"/>
            </a:ext>
          </a:extLst>
        </xdr:cNvPr>
        <xdr:cNvGrpSpPr/>
      </xdr:nvGrpSpPr>
      <xdr:grpSpPr>
        <a:xfrm>
          <a:off x="7413978" y="969904"/>
          <a:ext cx="6968696" cy="3366554"/>
          <a:chOff x="7391400" y="1005840"/>
          <a:chExt cx="6948000" cy="3445200"/>
        </a:xfrm>
      </xdr:grpSpPr>
      <xdr:sp macro="" textlink="">
        <xdr:nvSpPr>
          <xdr:cNvPr id="8" name="Rectangle: Rounded Corners 7">
            <a:extLst>
              <a:ext uri="{FF2B5EF4-FFF2-40B4-BE49-F238E27FC236}">
                <a16:creationId xmlns:a16="http://schemas.microsoft.com/office/drawing/2014/main" id="{B02786FA-360E-643E-F6BB-CC7D489E0D75}"/>
              </a:ext>
            </a:extLst>
          </xdr:cNvPr>
          <xdr:cNvSpPr/>
        </xdr:nvSpPr>
        <xdr:spPr>
          <a:xfrm>
            <a:off x="7391400" y="1005840"/>
            <a:ext cx="6948000" cy="34452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6" name="Chart 2">
            <a:extLst>
              <a:ext uri="{FF2B5EF4-FFF2-40B4-BE49-F238E27FC236}">
                <a16:creationId xmlns:a16="http://schemas.microsoft.com/office/drawing/2014/main" id="{B3FF7CF3-D4A6-CEA2-320E-B5591B046E25}"/>
              </a:ext>
            </a:extLst>
          </xdr:cNvPr>
          <xdr:cNvGraphicFramePr/>
        </xdr:nvGraphicFramePr>
        <xdr:xfrm>
          <a:off x="7673340" y="1245870"/>
          <a:ext cx="6423660" cy="300609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editAs="oneCell">
    <xdr:from>
      <xdr:col>15</xdr:col>
      <xdr:colOff>571500</xdr:colOff>
      <xdr:row>7</xdr:row>
      <xdr:rowOff>7620</xdr:rowOff>
    </xdr:from>
    <xdr:to>
      <xdr:col>16</xdr:col>
      <xdr:colOff>320040</xdr:colOff>
      <xdr:row>9</xdr:row>
      <xdr:rowOff>0</xdr:rowOff>
    </xdr:to>
    <xdr:pic>
      <xdr:nvPicPr>
        <xdr:cNvPr id="20" name="Graphic 19" descr="Daily calendar">
          <a:extLst>
            <a:ext uri="{FF2B5EF4-FFF2-40B4-BE49-F238E27FC236}">
              <a16:creationId xmlns:a16="http://schemas.microsoft.com/office/drawing/2014/main" id="{133518DB-7C81-8613-D2BE-DACBC2F5B42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715500" y="1287780"/>
          <a:ext cx="358140" cy="358140"/>
        </a:xfrm>
        <a:prstGeom prst="rect">
          <a:avLst/>
        </a:prstGeom>
      </xdr:spPr>
    </xdr:pic>
    <xdr:clientData/>
  </xdr:twoCellAnchor>
  <xdr:twoCellAnchor editAs="oneCell">
    <xdr:from>
      <xdr:col>3</xdr:col>
      <xdr:colOff>365760</xdr:colOff>
      <xdr:row>7</xdr:row>
      <xdr:rowOff>7620</xdr:rowOff>
    </xdr:from>
    <xdr:to>
      <xdr:col>4</xdr:col>
      <xdr:colOff>106680</xdr:colOff>
      <xdr:row>8</xdr:row>
      <xdr:rowOff>175260</xdr:rowOff>
    </xdr:to>
    <xdr:pic>
      <xdr:nvPicPr>
        <xdr:cNvPr id="22" name="Graphic 21" descr="Research">
          <a:extLst>
            <a:ext uri="{FF2B5EF4-FFF2-40B4-BE49-F238E27FC236}">
              <a16:creationId xmlns:a16="http://schemas.microsoft.com/office/drawing/2014/main" id="{14ED43D9-3F12-95E5-65DE-A5225EF4EB4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94560" y="1287780"/>
          <a:ext cx="350520" cy="3505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15240</xdr:rowOff>
    </xdr:from>
    <xdr:to>
      <xdr:col>25</xdr:col>
      <xdr:colOff>342900</xdr:colOff>
      <xdr:row>3</xdr:row>
      <xdr:rowOff>152400</xdr:rowOff>
    </xdr:to>
    <xdr:sp macro="" textlink="">
      <xdr:nvSpPr>
        <xdr:cNvPr id="2" name="Rectangle 1">
          <a:extLst>
            <a:ext uri="{FF2B5EF4-FFF2-40B4-BE49-F238E27FC236}">
              <a16:creationId xmlns:a16="http://schemas.microsoft.com/office/drawing/2014/main" id="{D9E5053F-21FB-491A-8456-B83EEE97862F}"/>
            </a:ext>
          </a:extLst>
        </xdr:cNvPr>
        <xdr:cNvSpPr/>
      </xdr:nvSpPr>
      <xdr:spPr>
        <a:xfrm>
          <a:off x="0" y="15240"/>
          <a:ext cx="15582900" cy="68580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22860</xdr:colOff>
      <xdr:row>0</xdr:row>
      <xdr:rowOff>167640</xdr:rowOff>
    </xdr:from>
    <xdr:to>
      <xdr:col>16</xdr:col>
      <xdr:colOff>579120</xdr:colOff>
      <xdr:row>3</xdr:row>
      <xdr:rowOff>38100</xdr:rowOff>
    </xdr:to>
    <xdr:sp macro="" textlink="">
      <xdr:nvSpPr>
        <xdr:cNvPr id="3" name="TextBox 2">
          <a:extLst>
            <a:ext uri="{FF2B5EF4-FFF2-40B4-BE49-F238E27FC236}">
              <a16:creationId xmlns:a16="http://schemas.microsoft.com/office/drawing/2014/main" id="{0F29543A-A273-4D41-8304-F5C6251F2A99}"/>
            </a:ext>
          </a:extLst>
        </xdr:cNvPr>
        <xdr:cNvSpPr txBox="1"/>
      </xdr:nvSpPr>
      <xdr:spPr>
        <a:xfrm>
          <a:off x="4290060" y="167640"/>
          <a:ext cx="604266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i="1">
              <a:solidFill>
                <a:schemeClr val="bg1"/>
              </a:solidFill>
            </a:rPr>
            <a:t>Deep Insights</a:t>
          </a:r>
        </a:p>
      </xdr:txBody>
    </xdr:sp>
    <xdr:clientData/>
  </xdr:twoCellAnchor>
  <xdr:twoCellAnchor>
    <xdr:from>
      <xdr:col>0</xdr:col>
      <xdr:colOff>122640</xdr:colOff>
      <xdr:row>5</xdr:row>
      <xdr:rowOff>76200</xdr:rowOff>
    </xdr:from>
    <xdr:to>
      <xdr:col>11</xdr:col>
      <xdr:colOff>365040</xdr:colOff>
      <xdr:row>24</xdr:row>
      <xdr:rowOff>46680</xdr:rowOff>
    </xdr:to>
    <xdr:sp macro="" textlink="">
      <xdr:nvSpPr>
        <xdr:cNvPr id="5" name="Rectangle: Rounded Corners 4">
          <a:extLst>
            <a:ext uri="{FF2B5EF4-FFF2-40B4-BE49-F238E27FC236}">
              <a16:creationId xmlns:a16="http://schemas.microsoft.com/office/drawing/2014/main" id="{AD11CE85-DB60-F9DD-0F28-75E1DD65835E}"/>
            </a:ext>
          </a:extLst>
        </xdr:cNvPr>
        <xdr:cNvSpPr/>
      </xdr:nvSpPr>
      <xdr:spPr>
        <a:xfrm>
          <a:off x="122640" y="990600"/>
          <a:ext cx="6948000" cy="34452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76200</xdr:colOff>
      <xdr:row>5</xdr:row>
      <xdr:rowOff>76200</xdr:rowOff>
    </xdr:from>
    <xdr:to>
      <xdr:col>23</xdr:col>
      <xdr:colOff>318600</xdr:colOff>
      <xdr:row>24</xdr:row>
      <xdr:rowOff>46680</xdr:rowOff>
    </xdr:to>
    <xdr:sp macro="" textlink="">
      <xdr:nvSpPr>
        <xdr:cNvPr id="8" name="Rectangle: Rounded Corners 7">
          <a:extLst>
            <a:ext uri="{FF2B5EF4-FFF2-40B4-BE49-F238E27FC236}">
              <a16:creationId xmlns:a16="http://schemas.microsoft.com/office/drawing/2014/main" id="{E338095C-D900-6076-C27E-438DB9FEEE8A}"/>
            </a:ext>
          </a:extLst>
        </xdr:cNvPr>
        <xdr:cNvSpPr/>
      </xdr:nvSpPr>
      <xdr:spPr>
        <a:xfrm>
          <a:off x="7391400" y="990600"/>
          <a:ext cx="6948000" cy="34452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373380</xdr:colOff>
      <xdr:row>6</xdr:row>
      <xdr:rowOff>129540</xdr:rowOff>
    </xdr:from>
    <xdr:to>
      <xdr:col>11</xdr:col>
      <xdr:colOff>144780</xdr:colOff>
      <xdr:row>23</xdr:row>
      <xdr:rowOff>60960</xdr:rowOff>
    </xdr:to>
    <xdr:graphicFrame macro="">
      <xdr:nvGraphicFramePr>
        <xdr:cNvPr id="10" name="Chart 3">
          <a:extLst>
            <a:ext uri="{FF2B5EF4-FFF2-40B4-BE49-F238E27FC236}">
              <a16:creationId xmlns:a16="http://schemas.microsoft.com/office/drawing/2014/main" id="{F07BC6DF-FCF0-5DB7-D5B1-83C564D3E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304800</xdr:colOff>
      <xdr:row>6</xdr:row>
      <xdr:rowOff>137160</xdr:rowOff>
    </xdr:from>
    <xdr:to>
      <xdr:col>23</xdr:col>
      <xdr:colOff>114300</xdr:colOff>
      <xdr:row>23</xdr:row>
      <xdr:rowOff>22860</xdr:rowOff>
    </xdr:to>
    <mc:AlternateContent xmlns:mc="http://schemas.openxmlformats.org/markup-compatibility/2006">
      <mc:Choice xmlns:cx1="http://schemas.microsoft.com/office/drawing/2015/9/8/chartex" Requires="cx1">
        <xdr:graphicFrame macro="">
          <xdr:nvGraphicFramePr>
            <xdr:cNvPr id="11" name="Chart 4">
              <a:extLst>
                <a:ext uri="{FF2B5EF4-FFF2-40B4-BE49-F238E27FC236}">
                  <a16:creationId xmlns:a16="http://schemas.microsoft.com/office/drawing/2014/main" id="{76DAAD88-E28C-FBFE-C3E0-B0E065D20F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620000" y="1234440"/>
              <a:ext cx="6515100" cy="29946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121920</xdr:colOff>
      <xdr:row>6</xdr:row>
      <xdr:rowOff>160020</xdr:rowOff>
    </xdr:from>
    <xdr:to>
      <xdr:col>4</xdr:col>
      <xdr:colOff>457200</xdr:colOff>
      <xdr:row>8</xdr:row>
      <xdr:rowOff>129540</xdr:rowOff>
    </xdr:to>
    <xdr:pic>
      <xdr:nvPicPr>
        <xdr:cNvPr id="13" name="Graphic 12" descr="Head with gears">
          <a:extLst>
            <a:ext uri="{FF2B5EF4-FFF2-40B4-BE49-F238E27FC236}">
              <a16:creationId xmlns:a16="http://schemas.microsoft.com/office/drawing/2014/main" id="{B83E61C8-2757-6A0D-7B73-069E09422C2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60320" y="1257300"/>
          <a:ext cx="335280" cy="335280"/>
        </a:xfrm>
        <a:prstGeom prst="rect">
          <a:avLst/>
        </a:prstGeom>
      </xdr:spPr>
    </xdr:pic>
    <xdr:clientData/>
  </xdr:twoCellAnchor>
  <xdr:twoCellAnchor editAs="oneCell">
    <xdr:from>
      <xdr:col>16</xdr:col>
      <xdr:colOff>327660</xdr:colOff>
      <xdr:row>6</xdr:row>
      <xdr:rowOff>165240</xdr:rowOff>
    </xdr:from>
    <xdr:to>
      <xdr:col>17</xdr:col>
      <xdr:colOff>83820</xdr:colOff>
      <xdr:row>8</xdr:row>
      <xdr:rowOff>165240</xdr:rowOff>
    </xdr:to>
    <xdr:pic>
      <xdr:nvPicPr>
        <xdr:cNvPr id="15" name="Graphic 14" descr="Lightbulb">
          <a:extLst>
            <a:ext uri="{FF2B5EF4-FFF2-40B4-BE49-F238E27FC236}">
              <a16:creationId xmlns:a16="http://schemas.microsoft.com/office/drawing/2014/main" id="{DF201D23-7432-DE23-61A1-CF8C6B8F879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081260" y="1262520"/>
          <a:ext cx="365760" cy="36576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12</xdr:col>
      <xdr:colOff>274320</xdr:colOff>
      <xdr:row>1</xdr:row>
      <xdr:rowOff>0</xdr:rowOff>
    </xdr:from>
    <xdr:to>
      <xdr:col>16</xdr:col>
      <xdr:colOff>922020</xdr:colOff>
      <xdr:row>11</xdr:row>
      <xdr:rowOff>38100</xdr:rowOff>
    </xdr:to>
    <xdr:sp macro="" textlink="$F$3">
      <xdr:nvSpPr>
        <xdr:cNvPr id="2" name="Rectangle: Rounded Corners 1">
          <a:extLst>
            <a:ext uri="{FF2B5EF4-FFF2-40B4-BE49-F238E27FC236}">
              <a16:creationId xmlns:a16="http://schemas.microsoft.com/office/drawing/2014/main" id="{43FCE099-5CDE-80E2-A13D-86F6A6742AC6}"/>
            </a:ext>
          </a:extLst>
        </xdr:cNvPr>
        <xdr:cNvSpPr/>
      </xdr:nvSpPr>
      <xdr:spPr>
        <a:xfrm>
          <a:off x="9151620" y="182880"/>
          <a:ext cx="3276600" cy="1866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a:p>
      </xdr:txBody>
    </xdr:sp>
    <xdr:clientData/>
  </xdr:twoCellAnchor>
  <xdr:twoCellAnchor>
    <xdr:from>
      <xdr:col>13</xdr:col>
      <xdr:colOff>182880</xdr:colOff>
      <xdr:row>1</xdr:row>
      <xdr:rowOff>121920</xdr:rowOff>
    </xdr:from>
    <xdr:to>
      <xdr:col>16</xdr:col>
      <xdr:colOff>464820</xdr:colOff>
      <xdr:row>3</xdr:row>
      <xdr:rowOff>106680</xdr:rowOff>
    </xdr:to>
    <xdr:sp macro="" textlink="">
      <xdr:nvSpPr>
        <xdr:cNvPr id="3" name="TextBox 2">
          <a:extLst>
            <a:ext uri="{FF2B5EF4-FFF2-40B4-BE49-F238E27FC236}">
              <a16:creationId xmlns:a16="http://schemas.microsoft.com/office/drawing/2014/main" id="{E86AEAF1-D2CA-9F72-F5FD-55EA34FAEB32}"/>
            </a:ext>
          </a:extLst>
        </xdr:cNvPr>
        <xdr:cNvSpPr txBox="1"/>
      </xdr:nvSpPr>
      <xdr:spPr>
        <a:xfrm>
          <a:off x="6781800" y="304800"/>
          <a:ext cx="2392680" cy="3505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 Movies</a:t>
          </a:r>
        </a:p>
      </xdr:txBody>
    </xdr:sp>
    <xdr:clientData/>
  </xdr:twoCellAnchor>
  <xdr:twoCellAnchor>
    <xdr:from>
      <xdr:col>17</xdr:col>
      <xdr:colOff>38100</xdr:colOff>
      <xdr:row>1</xdr:row>
      <xdr:rowOff>91440</xdr:rowOff>
    </xdr:from>
    <xdr:to>
      <xdr:col>24</xdr:col>
      <xdr:colOff>586740</xdr:colOff>
      <xdr:row>11</xdr:row>
      <xdr:rowOff>160020</xdr:rowOff>
    </xdr:to>
    <xdr:sp macro="" textlink="$G$3">
      <xdr:nvSpPr>
        <xdr:cNvPr id="4" name="Rectangle: Rounded Corners 3">
          <a:extLst>
            <a:ext uri="{FF2B5EF4-FFF2-40B4-BE49-F238E27FC236}">
              <a16:creationId xmlns:a16="http://schemas.microsoft.com/office/drawing/2014/main" id="{6DE1F6A7-222E-4828-8C38-B8A075DFB65C}"/>
            </a:ext>
          </a:extLst>
        </xdr:cNvPr>
        <xdr:cNvSpPr/>
      </xdr:nvSpPr>
      <xdr:spPr>
        <a:xfrm>
          <a:off x="12656820" y="274320"/>
          <a:ext cx="4815840" cy="18973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4A526D8-8E5C-4EC5-8DB6-8C2721D27D24}" type="TxLink">
            <a:rPr lang="en-US" sz="2400" b="0" i="0" u="none" strike="noStrike">
              <a:solidFill>
                <a:srgbClr val="000000"/>
              </a:solidFill>
              <a:latin typeface="Calibri"/>
              <a:cs typeface="Calibri"/>
            </a:rPr>
            <a:pPr algn="ctr"/>
            <a:t> 15,385 </a:t>
          </a:fld>
          <a:endParaRPr lang="en-IN" sz="2400"/>
        </a:p>
      </xdr:txBody>
    </xdr:sp>
    <xdr:clientData/>
  </xdr:twoCellAnchor>
  <xdr:twoCellAnchor>
    <xdr:from>
      <xdr:col>17</xdr:col>
      <xdr:colOff>434340</xdr:colOff>
      <xdr:row>1</xdr:row>
      <xdr:rowOff>167640</xdr:rowOff>
    </xdr:from>
    <xdr:to>
      <xdr:col>24</xdr:col>
      <xdr:colOff>335280</xdr:colOff>
      <xdr:row>3</xdr:row>
      <xdr:rowOff>152400</xdr:rowOff>
    </xdr:to>
    <xdr:sp macro="" textlink="">
      <xdr:nvSpPr>
        <xdr:cNvPr id="7" name="TextBox 6">
          <a:extLst>
            <a:ext uri="{FF2B5EF4-FFF2-40B4-BE49-F238E27FC236}">
              <a16:creationId xmlns:a16="http://schemas.microsoft.com/office/drawing/2014/main" id="{8A2C9C6B-3687-4F5A-96F7-266B8CD96A50}"/>
            </a:ext>
          </a:extLst>
        </xdr:cNvPr>
        <xdr:cNvSpPr txBox="1"/>
      </xdr:nvSpPr>
      <xdr:spPr>
        <a:xfrm>
          <a:off x="13053060" y="350520"/>
          <a:ext cx="4168140" cy="3505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 Revenue (Crores)</a:t>
          </a:r>
        </a:p>
      </xdr:txBody>
    </xdr:sp>
    <xdr:clientData/>
  </xdr:twoCellAnchor>
  <xdr:twoCellAnchor>
    <xdr:from>
      <xdr:col>11</xdr:col>
      <xdr:colOff>68580</xdr:colOff>
      <xdr:row>12</xdr:row>
      <xdr:rowOff>76200</xdr:rowOff>
    </xdr:from>
    <xdr:to>
      <xdr:col>16</xdr:col>
      <xdr:colOff>289560</xdr:colOff>
      <xdr:row>22</xdr:row>
      <xdr:rowOff>144780</xdr:rowOff>
    </xdr:to>
    <xdr:sp macro="" textlink="$H$3">
      <xdr:nvSpPr>
        <xdr:cNvPr id="8" name="Rectangle: Rounded Corners 7">
          <a:extLst>
            <a:ext uri="{FF2B5EF4-FFF2-40B4-BE49-F238E27FC236}">
              <a16:creationId xmlns:a16="http://schemas.microsoft.com/office/drawing/2014/main" id="{CE14E6B4-B62B-4CCC-B742-CFE1FCB9DDCB}"/>
            </a:ext>
          </a:extLst>
        </xdr:cNvPr>
        <xdr:cNvSpPr/>
      </xdr:nvSpPr>
      <xdr:spPr>
        <a:xfrm>
          <a:off x="9029700" y="2270760"/>
          <a:ext cx="3268980" cy="18973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34ECDC9-D378-4DB2-981D-53203B3EF18B}" type="TxLink">
            <a:rPr lang="en-US" sz="2400" b="0" i="0" u="none" strike="noStrike">
              <a:solidFill>
                <a:srgbClr val="000000"/>
              </a:solidFill>
              <a:latin typeface="Calibri"/>
              <a:cs typeface="Calibri"/>
            </a:rPr>
            <a:pPr algn="ctr"/>
            <a:t>117.82</a:t>
          </a:fld>
          <a:endParaRPr lang="en-IN" sz="2400"/>
        </a:p>
      </xdr:txBody>
    </xdr:sp>
    <xdr:clientData/>
  </xdr:twoCellAnchor>
  <xdr:twoCellAnchor>
    <xdr:from>
      <xdr:col>11</xdr:col>
      <xdr:colOff>464820</xdr:colOff>
      <xdr:row>12</xdr:row>
      <xdr:rowOff>152400</xdr:rowOff>
    </xdr:from>
    <xdr:to>
      <xdr:col>16</xdr:col>
      <xdr:colOff>38100</xdr:colOff>
      <xdr:row>14</xdr:row>
      <xdr:rowOff>137160</xdr:rowOff>
    </xdr:to>
    <xdr:sp macro="" textlink="">
      <xdr:nvSpPr>
        <xdr:cNvPr id="9" name="TextBox 8">
          <a:extLst>
            <a:ext uri="{FF2B5EF4-FFF2-40B4-BE49-F238E27FC236}">
              <a16:creationId xmlns:a16="http://schemas.microsoft.com/office/drawing/2014/main" id="{D6CD8F23-9293-4069-8970-2D8D795F5B8D}"/>
            </a:ext>
          </a:extLst>
        </xdr:cNvPr>
        <xdr:cNvSpPr txBox="1"/>
      </xdr:nvSpPr>
      <xdr:spPr>
        <a:xfrm>
          <a:off x="9425940" y="2346960"/>
          <a:ext cx="2621280" cy="3505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Average</a:t>
          </a:r>
          <a:r>
            <a:rPr lang="en-IN" sz="1600" b="1" baseline="0"/>
            <a:t> Budget</a:t>
          </a:r>
          <a:r>
            <a:rPr lang="en-IN" sz="1600" b="1"/>
            <a:t> (Crores)</a:t>
          </a:r>
        </a:p>
      </xdr:txBody>
    </xdr:sp>
    <xdr:clientData/>
  </xdr:twoCellAnchor>
  <xdr:twoCellAnchor>
    <xdr:from>
      <xdr:col>17</xdr:col>
      <xdr:colOff>106680</xdr:colOff>
      <xdr:row>12</xdr:row>
      <xdr:rowOff>83820</xdr:rowOff>
    </xdr:from>
    <xdr:to>
      <xdr:col>24</xdr:col>
      <xdr:colOff>541020</xdr:colOff>
      <xdr:row>22</xdr:row>
      <xdr:rowOff>152400</xdr:rowOff>
    </xdr:to>
    <xdr:sp macro="" textlink="$I$3">
      <xdr:nvSpPr>
        <xdr:cNvPr id="10" name="Rectangle: Rounded Corners 9">
          <a:extLst>
            <a:ext uri="{FF2B5EF4-FFF2-40B4-BE49-F238E27FC236}">
              <a16:creationId xmlns:a16="http://schemas.microsoft.com/office/drawing/2014/main" id="{3A7D2EA1-A599-40C0-96CE-CDE4AE5F6186}"/>
            </a:ext>
          </a:extLst>
        </xdr:cNvPr>
        <xdr:cNvSpPr/>
      </xdr:nvSpPr>
      <xdr:spPr>
        <a:xfrm>
          <a:off x="12725400" y="2278380"/>
          <a:ext cx="4701540" cy="18973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D07624B-C465-4353-B3D7-A4F97BE91BD1}" type="TxLink">
            <a:rPr lang="en-US" sz="2400" b="0" i="0" u="none" strike="noStrike">
              <a:solidFill>
                <a:srgbClr val="000000"/>
              </a:solidFill>
              <a:latin typeface="Calibri"/>
              <a:cs typeface="Calibri"/>
            </a:rPr>
            <a:pPr algn="ctr"/>
            <a:t>123.71</a:t>
          </a:fld>
          <a:endParaRPr lang="en-IN" sz="2400"/>
        </a:p>
      </xdr:txBody>
    </xdr:sp>
    <xdr:clientData/>
  </xdr:twoCellAnchor>
  <xdr:twoCellAnchor>
    <xdr:from>
      <xdr:col>17</xdr:col>
      <xdr:colOff>472440</xdr:colOff>
      <xdr:row>12</xdr:row>
      <xdr:rowOff>160020</xdr:rowOff>
    </xdr:from>
    <xdr:to>
      <xdr:col>24</xdr:col>
      <xdr:colOff>259080</xdr:colOff>
      <xdr:row>14</xdr:row>
      <xdr:rowOff>144780</xdr:rowOff>
    </xdr:to>
    <xdr:sp macro="" textlink="">
      <xdr:nvSpPr>
        <xdr:cNvPr id="11" name="TextBox 10">
          <a:extLst>
            <a:ext uri="{FF2B5EF4-FFF2-40B4-BE49-F238E27FC236}">
              <a16:creationId xmlns:a16="http://schemas.microsoft.com/office/drawing/2014/main" id="{9CAC1CD1-304C-4D8E-BF61-5D6ABC7AED80}"/>
            </a:ext>
          </a:extLst>
        </xdr:cNvPr>
        <xdr:cNvSpPr txBox="1"/>
      </xdr:nvSpPr>
      <xdr:spPr>
        <a:xfrm>
          <a:off x="13091160" y="2354580"/>
          <a:ext cx="4053840" cy="3505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Average</a:t>
          </a:r>
          <a:r>
            <a:rPr lang="en-IN" sz="1600" b="1" baseline="0"/>
            <a:t> ROI</a:t>
          </a:r>
          <a:r>
            <a:rPr lang="en-IN" sz="1600" b="1"/>
            <a:t> (Crores)</a:t>
          </a:r>
        </a:p>
      </xdr:txBody>
    </xdr:sp>
    <xdr:clientData/>
  </xdr:twoCellAnchor>
  <xdr:twoCellAnchor>
    <xdr:from>
      <xdr:col>14</xdr:col>
      <xdr:colOff>563880</xdr:colOff>
      <xdr:row>5</xdr:row>
      <xdr:rowOff>160020</xdr:rowOff>
    </xdr:from>
    <xdr:to>
      <xdr:col>15</xdr:col>
      <xdr:colOff>533400</xdr:colOff>
      <xdr:row>8</xdr:row>
      <xdr:rowOff>152400</xdr:rowOff>
    </xdr:to>
    <xdr:sp macro="" textlink="$F$3">
      <xdr:nvSpPr>
        <xdr:cNvPr id="19" name="TextBox 18">
          <a:extLst>
            <a:ext uri="{FF2B5EF4-FFF2-40B4-BE49-F238E27FC236}">
              <a16:creationId xmlns:a16="http://schemas.microsoft.com/office/drawing/2014/main" id="{D5918C15-C8A2-9AF6-CE46-ACD75E8BD14A}"/>
            </a:ext>
          </a:extLst>
        </xdr:cNvPr>
        <xdr:cNvSpPr txBox="1"/>
      </xdr:nvSpPr>
      <xdr:spPr>
        <a:xfrm>
          <a:off x="10347960" y="1074420"/>
          <a:ext cx="845820" cy="5410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5CB6F12-F4A3-496C-BE3C-37E74A4F238A}" type="TxLink">
            <a:rPr lang="en-US" sz="2400" b="0" i="0" u="none" strike="noStrike">
              <a:solidFill>
                <a:srgbClr val="000000"/>
              </a:solidFill>
              <a:latin typeface="Calibri"/>
              <a:cs typeface="Calibri"/>
            </a:rPr>
            <a:pPr algn="ctr"/>
            <a:t>33</a:t>
          </a:fld>
          <a:endParaRPr lang="en-IN" sz="2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NI DIMPLE" refreshedDate="46142.420476967593" createdVersion="8" refreshedVersion="8" minRefreshableVersion="3" recordCount="33" xr:uid="{23075D1B-3CAE-4874-8072-132B896E3C5D}">
  <cacheSource type="worksheet">
    <worksheetSource name="movie"/>
  </cacheSource>
  <cacheFields count="19">
    <cacheField name="Movie_Title" numFmtId="0">
      <sharedItems count="32">
        <s v="Baahubali"/>
        <s v="RRR"/>
        <s v="KGF 2"/>
        <s v="Pushpa"/>
        <s v="Jawan"/>
        <s v="Dangal"/>
        <s v="Leo"/>
        <s v="Vikram"/>
        <s v="KGF Chapter 1"/>
        <s v="War"/>
        <s v="Pathaan"/>
        <s v="Master"/>
        <s v="Kantara"/>
        <s v="Drishyam 2"/>
        <s v="Tiger 3"/>
        <s v="Salaar"/>
        <s v="Jailer"/>
        <s v="Animal"/>
        <s v="Lucifer"/>
        <s v="Pulimurugan"/>
        <s v="Premam"/>
        <s v="Minnal Murali"/>
        <s v="2018"/>
        <s v="Bheeshma Parvam"/>
        <s v="Kurup"/>
        <s v="Aavesham"/>
        <s v="RDX"/>
        <s v="Malik"/>
        <s v="Kumbalangi Nights"/>
        <s v="Hridayam"/>
        <s v="Driving Licence"/>
        <s v="King of Kotha"/>
      </sharedItems>
    </cacheField>
    <cacheField name="Date" numFmtId="14">
      <sharedItems containsSemiMixedTypes="0" containsNonDate="0" containsDate="1" containsString="0" minDate="2015-05-29T00:00:00" maxDate="2024-04-12T00:00:00" count="33">
        <d v="2015-10-07T00:00:00"/>
        <d v="2022-03-25T00:00:00"/>
        <d v="2022-04-14T00:00:00"/>
        <d v="2021-12-17T00:00:00"/>
        <d v="2023-09-07T00:00:00"/>
        <d v="2016-12-23T00:00:00"/>
        <d v="2023-10-19T00:00:00"/>
        <d v="2022-03-06T00:00:00"/>
        <d v="2018-12-21T00:00:00"/>
        <d v="2019-02-10T00:00:00"/>
        <d v="2023-01-25T00:00:00"/>
        <d v="2021-01-13T00:00:00"/>
        <d v="2022-09-30T00:00:00"/>
        <d v="2022-11-18T00:00:00"/>
        <d v="2023-11-12T00:00:00"/>
        <d v="2023-12-22T00:00:00"/>
        <d v="2023-08-10T00:00:00"/>
        <d v="2023-12-01T00:00:00"/>
        <d v="2019-03-28T00:00:00"/>
        <d v="2016-10-07T00:00:00"/>
        <d v="2021-02-19T00:00:00"/>
        <d v="2015-05-29T00:00:00"/>
        <d v="2021-12-24T00:00:00"/>
        <d v="2023-05-05T00:00:00"/>
        <d v="2022-03-03T00:00:00"/>
        <d v="2021-11-12T00:00:00"/>
        <d v="2024-04-11T00:00:00"/>
        <d v="2023-08-25T00:00:00"/>
        <d v="2021-07-15T00:00:00"/>
        <d v="2019-02-07T00:00:00"/>
        <d v="2022-01-21T00:00:00"/>
        <d v="2019-12-20T00:00:00"/>
        <d v="2023-08-24T00:00:00"/>
      </sharedItems>
      <fieldGroup par="18"/>
    </cacheField>
    <cacheField name="Industry" numFmtId="0">
      <sharedItems count="5">
        <s v="TOLLYWOOD"/>
        <s v="SANDALWOOD"/>
        <s v="BOLLYWOOD"/>
        <s v="KOLLYWOOD"/>
        <s v="MOLLYWOOD"/>
      </sharedItems>
    </cacheField>
    <cacheField name="Language" numFmtId="0">
      <sharedItems count="5">
        <s v="Telugu"/>
        <s v="Kannada"/>
        <s v="Hindi"/>
        <s v="Tamil"/>
        <s v="Malayalam"/>
      </sharedItems>
    </cacheField>
    <cacheField name="Director" numFmtId="0">
      <sharedItems/>
    </cacheField>
    <cacheField name="Lead_Actors" numFmtId="0">
      <sharedItems/>
    </cacheField>
    <cacheField name="Genre" numFmtId="0">
      <sharedItems count="8">
        <s v="Action"/>
        <s v="Action,Drama"/>
        <s v="Drama"/>
        <s v="Thriller"/>
        <s v="Romance,Drama"/>
        <s v="Superhero,Drama"/>
        <s v="Crime,Drama"/>
        <s v="Comedy,Action"/>
      </sharedItems>
    </cacheField>
    <cacheField name="Budget_Cr" numFmtId="0">
      <sharedItems containsSemiMixedTypes="0" containsString="0" containsNumber="1" containsInteger="1" minValue="8" maxValue="550" count="23">
        <n v="175"/>
        <n v="550"/>
        <n v="100"/>
        <n v="150"/>
        <n v="300"/>
        <n v="70"/>
        <n v="250"/>
        <n v="120"/>
        <n v="80"/>
        <n v="170"/>
        <n v="130"/>
        <n v="20"/>
        <n v="50"/>
        <n v="400"/>
        <n v="200"/>
        <n v="30"/>
        <n v="25"/>
        <n v="10"/>
        <n v="18"/>
        <n v="35"/>
        <n v="8"/>
        <n v="15"/>
        <n v="12"/>
      </sharedItems>
    </cacheField>
    <cacheField name="India_Net_Cr" numFmtId="0">
      <sharedItems containsSemiMixedTypes="0" containsString="0" containsNumber="1" containsInteger="1" minValue="45" maxValue="900"/>
    </cacheField>
    <cacheField name="Worldwide_Gross_Cr" numFmtId="0">
      <sharedItems containsSemiMixedTypes="0" containsString="0" containsNumber="1" containsInteger="1" minValue="65" maxValue="2000"/>
    </cacheField>
    <cacheField name="Overseas_Cr" numFmtId="0">
      <sharedItems containsSemiMixedTypes="0" containsString="0" containsNumber="1" containsInteger="1" minValue="15" maxValue="1600"/>
    </cacheField>
    <cacheField name="Verdict" numFmtId="0">
      <sharedItems count="6">
        <s v="Blockbuster"/>
        <s v="SuperHit"/>
        <s v="Hit"/>
        <s v="AllTimeBlockbuster"/>
        <s v="Average"/>
        <s v="Flop"/>
      </sharedItems>
    </cacheField>
    <cacheField name="Days_Run" numFmtId="0">
      <sharedItems containsSemiMixedTypes="0" containsString="0" containsNumber="1" containsInteger="1" minValue="45" maxValue="150" count="15">
        <n v="95"/>
        <n v="120"/>
        <n v="110"/>
        <n v="90"/>
        <n v="85"/>
        <n v="150"/>
        <n v="80"/>
        <n v="70"/>
        <n v="60"/>
        <n v="50"/>
        <n v="75"/>
        <n v="65"/>
        <n v="100"/>
        <n v="55"/>
        <n v="45"/>
      </sharedItems>
    </cacheField>
    <cacheField name="OTT_Platform" numFmtId="0">
      <sharedItems count="5">
        <s v="Amazon"/>
        <s v="Netflix"/>
        <s v="Prime"/>
        <s v="Hotstar"/>
        <s v="SonyLiv"/>
      </sharedItems>
    </cacheField>
    <cacheField name="ROI" numFmtId="0">
      <sharedItems containsSemiMixedTypes="0" containsString="0" containsNumber="1" minValue="0.9" maxValue="15"/>
    </cacheField>
    <cacheField name="Year" numFmtId="0">
      <sharedItems containsSemiMixedTypes="0" containsString="0" containsNumber="1" containsInteger="1" minValue="2015" maxValue="2024" count="8">
        <n v="2015"/>
        <n v="2022"/>
        <n v="2021"/>
        <n v="2023"/>
        <n v="2016"/>
        <n v="2018"/>
        <n v="2019"/>
        <n v="2024"/>
      </sharedItems>
    </cacheField>
    <cacheField name="Months (Date)" numFmtId="0" databaseField="0">
      <fieldGroup base="1">
        <rangePr groupBy="months" startDate="2015-05-29T00:00:00" endDate="2024-04-12T00:00:00"/>
        <groupItems count="14">
          <s v="&lt;29-05-2015"/>
          <s v="Jan"/>
          <s v="Feb"/>
          <s v="Mar"/>
          <s v="Apr"/>
          <s v="May"/>
          <s v="Jun"/>
          <s v="Jul"/>
          <s v="Aug"/>
          <s v="Sep"/>
          <s v="Oct"/>
          <s v="Nov"/>
          <s v="Dec"/>
          <s v="&gt;12-04-2024"/>
        </groupItems>
      </fieldGroup>
    </cacheField>
    <cacheField name="Quarters (Date)" numFmtId="0" databaseField="0">
      <fieldGroup base="1">
        <rangePr groupBy="quarters" startDate="2015-05-29T00:00:00" endDate="2024-04-12T00:00:00"/>
        <groupItems count="6">
          <s v="&lt;29-05-2015"/>
          <s v="Qtr1"/>
          <s v="Qtr2"/>
          <s v="Qtr3"/>
          <s v="Qtr4"/>
          <s v="&gt;12-04-2024"/>
        </groupItems>
      </fieldGroup>
    </cacheField>
    <cacheField name="Years (Date)" numFmtId="0" databaseField="0">
      <fieldGroup base="1">
        <rangePr groupBy="years" startDate="2015-05-29T00:00:00" endDate="2024-04-12T00:00:00"/>
        <groupItems count="12">
          <s v="&lt;29-05-2015"/>
          <s v="2015"/>
          <s v="2016"/>
          <s v="2017"/>
          <s v="2018"/>
          <s v="2019"/>
          <s v="2020"/>
          <s v="2021"/>
          <s v="2022"/>
          <s v="2023"/>
          <s v="2024"/>
          <s v="&gt;12-04-2024"/>
        </groupItems>
      </fieldGroup>
    </cacheField>
  </cacheFields>
  <extLst>
    <ext xmlns:x14="http://schemas.microsoft.com/office/spreadsheetml/2009/9/main" uri="{725AE2AE-9491-48be-B2B4-4EB974FC3084}">
      <x14:pivotCacheDefinition pivotCacheId="14330313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NI DIMPLE" refreshedDate="46142.420483449074" createdVersion="8" refreshedVersion="8" minRefreshableVersion="3" recordCount="51" xr:uid="{E2A2D256-0CFF-4037-AABD-C14FAEBBAB7A}">
  <cacheSource type="worksheet">
    <worksheetSource name="Merge1"/>
  </cacheSource>
  <cacheFields count="19">
    <cacheField name="Movie_Title" numFmtId="0">
      <sharedItems/>
    </cacheField>
    <cacheField name="Date" numFmtId="14">
      <sharedItems containsSemiMixedTypes="0" containsNonDate="0" containsDate="1" containsString="0" minDate="2015-05-29T00:00:00" maxDate="2024-04-12T00:00:00"/>
    </cacheField>
    <cacheField name="Industry" numFmtId="0">
      <sharedItems count="5">
        <s v="TOLLYWOOD"/>
        <s v="SANDALWOOD"/>
        <s v="BOLLYWOOD"/>
        <s v="KOLLYWOOD"/>
        <s v="MOLLYWOOD"/>
      </sharedItems>
    </cacheField>
    <cacheField name="Language" numFmtId="0">
      <sharedItems/>
    </cacheField>
    <cacheField name="Director" numFmtId="0">
      <sharedItems/>
    </cacheField>
    <cacheField name="Genre" numFmtId="0">
      <sharedItems/>
    </cacheField>
    <cacheField name="Budget_Cr" numFmtId="0">
      <sharedItems containsSemiMixedTypes="0" containsString="0" containsNumber="1" containsInteger="1" minValue="8" maxValue="550"/>
    </cacheField>
    <cacheField name="India_Net_Cr" numFmtId="0">
      <sharedItems containsSemiMixedTypes="0" containsString="0" containsNumber="1" containsInteger="1" minValue="45" maxValue="900"/>
    </cacheField>
    <cacheField name="Worldwide_Gross_Cr" numFmtId="0">
      <sharedItems containsSemiMixedTypes="0" containsString="0" containsNumber="1" containsInteger="1" minValue="65" maxValue="2000"/>
    </cacheField>
    <cacheField name="Overseas_Cr" numFmtId="0">
      <sharedItems containsSemiMixedTypes="0" containsString="0" containsNumber="1" containsInteger="1" minValue="15" maxValue="1600"/>
    </cacheField>
    <cacheField name="Verdict" numFmtId="0">
      <sharedItems/>
    </cacheField>
    <cacheField name="Days_Run" numFmtId="0">
      <sharedItems containsSemiMixedTypes="0" containsString="0" containsNumber="1" containsInteger="1" minValue="45" maxValue="150"/>
    </cacheField>
    <cacheField name="OTT_Platform" numFmtId="0">
      <sharedItems/>
    </cacheField>
    <cacheField name="ROI" numFmtId="0">
      <sharedItems containsSemiMixedTypes="0" containsString="0" containsNumber="1" minValue="0.9" maxValue="15"/>
    </cacheField>
    <cacheField name="Actor_Name" numFmtId="0">
      <sharedItems count="39">
        <s v="Prabhas"/>
        <s v="Rana"/>
        <s v="Jr Ntr"/>
        <s v="Ram Charan"/>
        <s v="Yash"/>
        <s v="Allu Arjun"/>
        <s v="Srinidhi"/>
        <s v="Shah Rukh Khan"/>
        <s v="Aamir Khan"/>
        <s v="Rashmika"/>
        <s v="Vijay"/>
        <s v="Kamal Hassan"/>
        <s v="Nayanthara"/>
        <s v="Rajinikanth"/>
        <s v="Fatima"/>
        <s v="Ranbir Kapoor"/>
        <s v="Salman Khan"/>
        <s v="Trisha"/>
        <s v="Ajay Devgn"/>
        <s v="Hrithik Roshan"/>
        <s v="Fahadh Faasil"/>
        <s v="Rishab Shetty"/>
        <s v="Tiger"/>
        <s v="Deepika"/>
        <s v="Vijay Sethupathi"/>
        <s v="Tabu"/>
        <s v="Katrina"/>
        <s v="Shruti"/>
        <s v="Mohanlal"/>
        <s v="Nivin Pauly"/>
        <s v="Tovino Thomas"/>
        <s v="Asif Ali"/>
        <s v="Mammootty"/>
        <s v="Dulquer Salmaan"/>
        <s v="Antony Varghese"/>
        <s v="Shane Nigam"/>
        <s v="Pranav Mohanlal"/>
        <s v="Prithviraj Sukumaran"/>
        <s v="Suraj"/>
      </sharedItems>
    </cacheField>
    <cacheField name="Actor-Remuneration.Remuneration" numFmtId="0">
      <sharedItems containsSemiMixedTypes="0" containsString="0" containsNumber="1" minValue="0" maxValue="120"/>
    </cacheField>
    <cacheField name="Actor-Remuneration.Year" numFmtId="0">
      <sharedItems containsString="0" containsBlank="1" containsNumber="1" containsInteger="1" minValue="2015" maxValue="2024"/>
    </cacheField>
    <cacheField name="Efficiency" numFmtId="0">
      <sharedItems containsString="0" containsBlank="1" containsNumber="1" minValue="4.5" maxValue="70"/>
    </cacheField>
    <cacheField name="Hit_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9207140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x v="0"/>
    <x v="0"/>
    <x v="0"/>
    <x v="0"/>
    <s v="ss rajamouli"/>
    <s v="Prabhas , Rana"/>
    <x v="0"/>
    <x v="0"/>
    <n v="410"/>
    <n v="640"/>
    <n v="220"/>
    <x v="0"/>
    <x v="0"/>
    <x v="0"/>
    <n v="2.342857142857143"/>
    <x v="0"/>
  </r>
  <r>
    <x v="1"/>
    <x v="1"/>
    <x v="0"/>
    <x v="0"/>
    <s v="S S Rajamouli"/>
    <s v="Jr NTR,Ram Charan"/>
    <x v="1"/>
    <x v="1"/>
    <n v="900"/>
    <n v="1200"/>
    <n v="300"/>
    <x v="0"/>
    <x v="1"/>
    <x v="1"/>
    <n v="1.6363636363636365"/>
    <x v="1"/>
  </r>
  <r>
    <x v="2"/>
    <x v="2"/>
    <x v="1"/>
    <x v="1"/>
    <s v="Prashanth Neel"/>
    <s v="Yash,Srinidhi"/>
    <x v="0"/>
    <x v="2"/>
    <n v="800"/>
    <n v="1200"/>
    <n v="400"/>
    <x v="1"/>
    <x v="2"/>
    <x v="2"/>
    <n v="8"/>
    <x v="1"/>
  </r>
  <r>
    <x v="3"/>
    <x v="3"/>
    <x v="0"/>
    <x v="0"/>
    <s v="Sukumar"/>
    <s v="Allu Arjun,Rashmika"/>
    <x v="1"/>
    <x v="3"/>
    <n v="350"/>
    <n v="500"/>
    <n v="150"/>
    <x v="2"/>
    <x v="3"/>
    <x v="0"/>
    <n v="2.3333333333333335"/>
    <x v="2"/>
  </r>
  <r>
    <x v="4"/>
    <x v="4"/>
    <x v="2"/>
    <x v="2"/>
    <s v="Atlee"/>
    <s v="Shah Rukh Khan,Nayanthara"/>
    <x v="0"/>
    <x v="4"/>
    <n v="640"/>
    <n v="1100"/>
    <n v="460"/>
    <x v="0"/>
    <x v="4"/>
    <x v="1"/>
    <n v="2.1333333333333333"/>
    <x v="3"/>
  </r>
  <r>
    <x v="5"/>
    <x v="5"/>
    <x v="2"/>
    <x v="2"/>
    <s v="Nitesh Tiwari"/>
    <s v="Aamir Khan,Fatima"/>
    <x v="2"/>
    <x v="5"/>
    <n v="387"/>
    <n v="2000"/>
    <n v="1600"/>
    <x v="3"/>
    <x v="5"/>
    <x v="3"/>
    <n v="5.5285714285714285"/>
    <x v="4"/>
  </r>
  <r>
    <x v="6"/>
    <x v="6"/>
    <x v="3"/>
    <x v="3"/>
    <s v="Lokesh Kanagaraj"/>
    <s v="Vijay,Trisha"/>
    <x v="0"/>
    <x v="6"/>
    <n v="350"/>
    <n v="600"/>
    <n v="250"/>
    <x v="2"/>
    <x v="6"/>
    <x v="1"/>
    <n v="1.4"/>
    <x v="3"/>
  </r>
  <r>
    <x v="7"/>
    <x v="7"/>
    <x v="3"/>
    <x v="3"/>
    <s v="Lokesh"/>
    <s v="kamal hassan,fahadh faasil"/>
    <x v="0"/>
    <x v="7"/>
    <n v="250"/>
    <n v="450"/>
    <n v="200"/>
    <x v="0"/>
    <x v="3"/>
    <x v="3"/>
    <n v="2.0833333333333335"/>
    <x v="1"/>
  </r>
  <r>
    <x v="8"/>
    <x v="8"/>
    <x v="1"/>
    <x v="1"/>
    <s v="Prashanth Neel"/>
    <s v="Yash"/>
    <x v="0"/>
    <x v="8"/>
    <n v="240"/>
    <n v="400"/>
    <n v="160"/>
    <x v="2"/>
    <x v="4"/>
    <x v="2"/>
    <n v="3"/>
    <x v="5"/>
  </r>
  <r>
    <x v="9"/>
    <x v="9"/>
    <x v="2"/>
    <x v="2"/>
    <s v="Siddharth Anand"/>
    <s v="Hrithik Roshan,Tiger"/>
    <x v="0"/>
    <x v="9"/>
    <n v="300"/>
    <n v="475"/>
    <n v="175"/>
    <x v="2"/>
    <x v="7"/>
    <x v="2"/>
    <n v="1.7647058823529411"/>
    <x v="6"/>
  </r>
  <r>
    <x v="10"/>
    <x v="10"/>
    <x v="2"/>
    <x v="2"/>
    <s v="Siddharth Anand"/>
    <s v="Shah Rukh Khan,Deepika"/>
    <x v="0"/>
    <x v="6"/>
    <n v="540"/>
    <n v="1050"/>
    <n v="510"/>
    <x v="0"/>
    <x v="0"/>
    <x v="2"/>
    <n v="2.16"/>
    <x v="3"/>
  </r>
  <r>
    <x v="11"/>
    <x v="11"/>
    <x v="3"/>
    <x v="3"/>
    <s v="Lokesh Kanagaraj"/>
    <s v="Vijay,Vijay Sethupathi"/>
    <x v="0"/>
    <x v="10"/>
    <n v="240"/>
    <n v="350"/>
    <n v="110"/>
    <x v="2"/>
    <x v="8"/>
    <x v="2"/>
    <n v="1.8461538461538463"/>
    <x v="2"/>
  </r>
  <r>
    <x v="12"/>
    <x v="12"/>
    <x v="1"/>
    <x v="1"/>
    <s v="Rishab Shetty"/>
    <s v="Rishab Shetty"/>
    <x v="2"/>
    <x v="11"/>
    <n v="300"/>
    <n v="350"/>
    <n v="50"/>
    <x v="0"/>
    <x v="1"/>
    <x v="1"/>
    <n v="15"/>
    <x v="1"/>
  </r>
  <r>
    <x v="13"/>
    <x v="13"/>
    <x v="2"/>
    <x v="2"/>
    <s v="Abhishek Pathak"/>
    <s v="Ajay Devgn,Tabu"/>
    <x v="3"/>
    <x v="12"/>
    <n v="240"/>
    <n v="350"/>
    <n v="110"/>
    <x v="2"/>
    <x v="7"/>
    <x v="3"/>
    <n v="4.8"/>
    <x v="1"/>
  </r>
  <r>
    <x v="14"/>
    <x v="14"/>
    <x v="2"/>
    <x v="2"/>
    <s v="Maneesh Sharma"/>
    <s v="Salman Khan,Katrina"/>
    <x v="0"/>
    <x v="4"/>
    <n v="280"/>
    <n v="450"/>
    <n v="170"/>
    <x v="4"/>
    <x v="9"/>
    <x v="2"/>
    <n v="0.93333333333333335"/>
    <x v="3"/>
  </r>
  <r>
    <x v="15"/>
    <x v="15"/>
    <x v="0"/>
    <x v="0"/>
    <s v="Prashanth Neel"/>
    <s v="Prabhas,Shruti"/>
    <x v="0"/>
    <x v="13"/>
    <n v="500"/>
    <n v="900"/>
    <n v="400"/>
    <x v="2"/>
    <x v="6"/>
    <x v="1"/>
    <n v="1.25"/>
    <x v="3"/>
  </r>
  <r>
    <x v="16"/>
    <x v="16"/>
    <x v="3"/>
    <x v="3"/>
    <s v="Nelson"/>
    <s v="Rajinikanth"/>
    <x v="0"/>
    <x v="14"/>
    <n v="350"/>
    <n v="600"/>
    <n v="250"/>
    <x v="0"/>
    <x v="3"/>
    <x v="2"/>
    <n v="1.75"/>
    <x v="3"/>
  </r>
  <r>
    <x v="17"/>
    <x v="17"/>
    <x v="2"/>
    <x v="2"/>
    <s v="Sandeep Reddy"/>
    <s v="Ranbir Kapoor"/>
    <x v="1"/>
    <x v="14"/>
    <n v="600"/>
    <n v="900"/>
    <n v="300"/>
    <x v="1"/>
    <x v="4"/>
    <x v="1"/>
    <n v="3"/>
    <x v="3"/>
  </r>
  <r>
    <x v="18"/>
    <x v="18"/>
    <x v="4"/>
    <x v="4"/>
    <s v="Prithviraj Sukumaran"/>
    <s v="Mohanlal"/>
    <x v="1"/>
    <x v="15"/>
    <n v="130"/>
    <n v="200"/>
    <n v="70"/>
    <x v="0"/>
    <x v="0"/>
    <x v="2"/>
    <n v="4.333333333333333"/>
    <x v="6"/>
  </r>
  <r>
    <x v="19"/>
    <x v="19"/>
    <x v="4"/>
    <x v="4"/>
    <s v="Vysakh"/>
    <s v="Mohanlal"/>
    <x v="0"/>
    <x v="16"/>
    <n v="100"/>
    <n v="150"/>
    <n v="50"/>
    <x v="2"/>
    <x v="6"/>
    <x v="3"/>
    <n v="4"/>
    <x v="4"/>
  </r>
  <r>
    <x v="13"/>
    <x v="20"/>
    <x v="4"/>
    <x v="4"/>
    <s v="Jeethu Joseph"/>
    <s v="Mohanlal"/>
    <x v="3"/>
    <x v="12"/>
    <n v="250"/>
    <n v="300"/>
    <n v="50"/>
    <x v="1"/>
    <x v="10"/>
    <x v="3"/>
    <n v="5"/>
    <x v="2"/>
  </r>
  <r>
    <x v="20"/>
    <x v="21"/>
    <x v="4"/>
    <x v="4"/>
    <s v="Alphonse Puthren"/>
    <s v="Nivin Pauly"/>
    <x v="4"/>
    <x v="17"/>
    <n v="60"/>
    <n v="75"/>
    <n v="15"/>
    <x v="0"/>
    <x v="1"/>
    <x v="1"/>
    <n v="6"/>
    <x v="0"/>
  </r>
  <r>
    <x v="21"/>
    <x v="22"/>
    <x v="4"/>
    <x v="4"/>
    <s v="Basil Joseph"/>
    <s v="Tovino Thomas"/>
    <x v="5"/>
    <x v="18"/>
    <n v="50"/>
    <n v="70"/>
    <n v="20"/>
    <x v="2"/>
    <x v="11"/>
    <x v="1"/>
    <n v="2.7777777777777777"/>
    <x v="2"/>
  </r>
  <r>
    <x v="22"/>
    <x v="23"/>
    <x v="4"/>
    <x v="4"/>
    <s v="Jude Anthany Joseph"/>
    <s v="Tovino Thomas,Asif Ali"/>
    <x v="2"/>
    <x v="15"/>
    <n v="200"/>
    <n v="250"/>
    <n v="50"/>
    <x v="0"/>
    <x v="12"/>
    <x v="4"/>
    <n v="6.666666666666667"/>
    <x v="3"/>
  </r>
  <r>
    <x v="23"/>
    <x v="24"/>
    <x v="4"/>
    <x v="4"/>
    <s v="Amal Neerad"/>
    <s v="Mammootty"/>
    <x v="1"/>
    <x v="11"/>
    <n v="90"/>
    <n v="115"/>
    <n v="25"/>
    <x v="2"/>
    <x v="7"/>
    <x v="3"/>
    <n v="4.5"/>
    <x v="1"/>
  </r>
  <r>
    <x v="24"/>
    <x v="25"/>
    <x v="4"/>
    <x v="4"/>
    <s v="Srinath Rajendran"/>
    <s v="Dulquer Salmaan"/>
    <x v="6"/>
    <x v="19"/>
    <n v="80"/>
    <n v="100"/>
    <n v="20"/>
    <x v="2"/>
    <x v="8"/>
    <x v="1"/>
    <n v="2.2857142857142856"/>
    <x v="2"/>
  </r>
  <r>
    <x v="25"/>
    <x v="26"/>
    <x v="4"/>
    <x v="4"/>
    <s v="Jithu Madhavan"/>
    <s v="Fahadh Faasil"/>
    <x v="7"/>
    <x v="16"/>
    <n v="120"/>
    <n v="150"/>
    <n v="30"/>
    <x v="0"/>
    <x v="4"/>
    <x v="2"/>
    <n v="4.8"/>
    <x v="7"/>
  </r>
  <r>
    <x v="26"/>
    <x v="27"/>
    <x v="4"/>
    <x v="4"/>
    <s v="Nahas Hidayath"/>
    <s v="Antony Varghese,Shane Nigam"/>
    <x v="0"/>
    <x v="11"/>
    <n v="85"/>
    <n v="100"/>
    <n v="15"/>
    <x v="2"/>
    <x v="7"/>
    <x v="1"/>
    <n v="4.25"/>
    <x v="3"/>
  </r>
  <r>
    <x v="27"/>
    <x v="28"/>
    <x v="4"/>
    <x v="4"/>
    <s v="mahesh narayanan"/>
    <s v="Fahadh Faasil"/>
    <x v="2"/>
    <x v="16"/>
    <n v="60"/>
    <n v="75"/>
    <n v="15"/>
    <x v="4"/>
    <x v="13"/>
    <x v="2"/>
    <n v="2.4"/>
    <x v="2"/>
  </r>
  <r>
    <x v="28"/>
    <x v="29"/>
    <x v="4"/>
    <x v="4"/>
    <s v="Madhu C Narayanan"/>
    <s v="Fahadh Faasil,Shane Nigam"/>
    <x v="2"/>
    <x v="20"/>
    <n v="50"/>
    <n v="65"/>
    <n v="15"/>
    <x v="0"/>
    <x v="0"/>
    <x v="2"/>
    <n v="6.25"/>
    <x v="6"/>
  </r>
  <r>
    <x v="29"/>
    <x v="30"/>
    <x v="4"/>
    <x v="4"/>
    <s v="Vineeth Sreenivasan"/>
    <s v="Pranav Mohanlal"/>
    <x v="4"/>
    <x v="21"/>
    <n v="60"/>
    <n v="80"/>
    <n v="20"/>
    <x v="2"/>
    <x v="10"/>
    <x v="3"/>
    <n v="4"/>
    <x v="1"/>
  </r>
  <r>
    <x v="30"/>
    <x v="31"/>
    <x v="4"/>
    <x v="4"/>
    <s v="Lal Jr"/>
    <s v="Prithviraj Sukumaran,Suraj"/>
    <x v="2"/>
    <x v="22"/>
    <n v="55"/>
    <n v="70"/>
    <n v="15"/>
    <x v="2"/>
    <x v="7"/>
    <x v="2"/>
    <n v="4.583333333333333"/>
    <x v="6"/>
  </r>
  <r>
    <x v="31"/>
    <x v="32"/>
    <x v="4"/>
    <x v="4"/>
    <s v="Abhilash Joshiy"/>
    <s v="Dulquer Salmaan"/>
    <x v="0"/>
    <x v="12"/>
    <n v="45"/>
    <n v="70"/>
    <n v="25"/>
    <x v="5"/>
    <x v="14"/>
    <x v="3"/>
    <n v="0.9"/>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s v="Baahubali"/>
    <d v="2015-10-07T00:00:00"/>
    <x v="0"/>
    <s v="Telugu"/>
    <s v="ss rajamouli"/>
    <s v="Action"/>
    <n v="175"/>
    <n v="410"/>
    <n v="640"/>
    <n v="220"/>
    <s v="Blockbuster"/>
    <n v="95"/>
    <s v="Amazon"/>
    <n v="2.342857142857143"/>
    <x v="0"/>
    <n v="27.5"/>
    <n v="2015"/>
    <n v="23.27"/>
    <n v="1"/>
  </r>
  <r>
    <s v="Baahubali"/>
    <d v="2015-10-07T00:00:00"/>
    <x v="0"/>
    <s v="Telugu"/>
    <s v="ss rajamouli"/>
    <s v="Action"/>
    <n v="175"/>
    <n v="410"/>
    <n v="640"/>
    <n v="220"/>
    <s v="Blockbuster"/>
    <n v="95"/>
    <s v="Amazon"/>
    <n v="2.342857142857143"/>
    <x v="1"/>
    <n v="0"/>
    <m/>
    <m/>
    <n v="1"/>
  </r>
  <r>
    <s v="Rrr"/>
    <d v="2022-03-25T00:00:00"/>
    <x v="0"/>
    <s v="Telugu"/>
    <s v="S S Rajamouli"/>
    <s v="Action/Drama"/>
    <n v="550"/>
    <n v="900"/>
    <n v="1200"/>
    <n v="300"/>
    <s v="Blockbuster"/>
    <n v="120"/>
    <s v="Netflix"/>
    <n v="1.6363636363636365"/>
    <x v="2"/>
    <n v="100"/>
    <n v="2022"/>
    <n v="12"/>
    <n v="1"/>
  </r>
  <r>
    <s v="Rrr"/>
    <d v="2022-03-25T00:00:00"/>
    <x v="0"/>
    <s v="Telugu"/>
    <s v="S S Rajamouli"/>
    <s v="Action/Drama"/>
    <n v="550"/>
    <n v="900"/>
    <n v="1200"/>
    <n v="300"/>
    <s v="Blockbuster"/>
    <n v="120"/>
    <s v="Netflix"/>
    <n v="1.6363636363636365"/>
    <x v="3"/>
    <n v="100"/>
    <n v="2022"/>
    <n v="12"/>
    <n v="1"/>
  </r>
  <r>
    <s v="Kgf 2"/>
    <d v="2022-04-14T00:00:00"/>
    <x v="1"/>
    <s v="Kannada"/>
    <s v="Prashanth Neel"/>
    <s v="Action"/>
    <n v="100"/>
    <n v="800"/>
    <n v="1200"/>
    <n v="400"/>
    <s v="SuperHit"/>
    <n v="110"/>
    <s v="Prime"/>
    <n v="8"/>
    <x v="4"/>
    <n v="40"/>
    <n v="2022"/>
    <n v="30"/>
    <n v="1"/>
  </r>
  <r>
    <s v="Pushpa"/>
    <d v="2021-12-17T00:00:00"/>
    <x v="0"/>
    <s v="Telugu"/>
    <s v="Sukumar"/>
    <s v="Action/Drama"/>
    <n v="150"/>
    <n v="350"/>
    <n v="500"/>
    <n v="150"/>
    <s v="Hit"/>
    <n v="90"/>
    <s v="Amazon"/>
    <n v="2.3333333333333335"/>
    <x v="5"/>
    <n v="40"/>
    <n v="2021"/>
    <n v="12.5"/>
    <n v="1"/>
  </r>
  <r>
    <s v="Kgf 2"/>
    <d v="2022-04-14T00:00:00"/>
    <x v="1"/>
    <s v="Kannada"/>
    <s v="Prashanth Neel"/>
    <s v="Action"/>
    <n v="100"/>
    <n v="800"/>
    <n v="1200"/>
    <n v="400"/>
    <s v="SuperHit"/>
    <n v="110"/>
    <s v="Prime"/>
    <n v="8"/>
    <x v="6"/>
    <n v="0"/>
    <m/>
    <m/>
    <n v="1"/>
  </r>
  <r>
    <s v="Jawan"/>
    <d v="2023-09-07T00:00:00"/>
    <x v="2"/>
    <s v="Hindi"/>
    <s v="Atlee"/>
    <s v="Action"/>
    <n v="300"/>
    <n v="640"/>
    <n v="1100"/>
    <n v="460"/>
    <s v="Blockbuster"/>
    <n v="85"/>
    <s v="Netflix"/>
    <n v="2.1333333333333333"/>
    <x v="7"/>
    <n v="110"/>
    <n v="2023"/>
    <n v="10"/>
    <n v="1"/>
  </r>
  <r>
    <s v="Dangal"/>
    <d v="2016-12-23T00:00:00"/>
    <x v="2"/>
    <s v="Hindi"/>
    <s v="Nitesh Tiwari"/>
    <s v="Drama"/>
    <n v="70"/>
    <n v="387"/>
    <n v="2000"/>
    <n v="1600"/>
    <s v="AllTimeBlockbuster"/>
    <n v="150"/>
    <s v="Hotstar"/>
    <n v="5.5285714285714285"/>
    <x v="8"/>
    <n v="60"/>
    <n v="2016"/>
    <n v="33.33"/>
    <n v="1"/>
  </r>
  <r>
    <s v="Pushpa"/>
    <d v="2021-12-17T00:00:00"/>
    <x v="0"/>
    <s v="Telugu"/>
    <s v="Sukumar"/>
    <s v="Action/Drama"/>
    <n v="150"/>
    <n v="350"/>
    <n v="500"/>
    <n v="150"/>
    <s v="Hit"/>
    <n v="90"/>
    <s v="Amazon"/>
    <n v="2.3333333333333335"/>
    <x v="9"/>
    <n v="0"/>
    <m/>
    <m/>
    <n v="1"/>
  </r>
  <r>
    <s v="Leo"/>
    <d v="2023-10-19T00:00:00"/>
    <x v="3"/>
    <s v="Tamil"/>
    <s v="Lokesh Kanagaraj"/>
    <s v="Action"/>
    <n v="250"/>
    <n v="350"/>
    <n v="600"/>
    <n v="250"/>
    <s v="Hit"/>
    <n v="80"/>
    <s v="Netflix"/>
    <n v="1.4"/>
    <x v="10"/>
    <n v="80"/>
    <n v="2023"/>
    <n v="7.5"/>
    <n v="1"/>
  </r>
  <r>
    <s v="Vikram"/>
    <d v="2022-03-06T00:00:00"/>
    <x v="3"/>
    <s v="Tamil"/>
    <s v="Lokesh"/>
    <s v="Action"/>
    <n v="120"/>
    <n v="250"/>
    <n v="450"/>
    <n v="200"/>
    <s v="Blockbuster"/>
    <n v="90"/>
    <s v="Hotstar"/>
    <n v="2.0833333333333335"/>
    <x v="11"/>
    <n v="50"/>
    <n v="2022"/>
    <n v="9"/>
    <n v="1"/>
  </r>
  <r>
    <s v="Jawan"/>
    <d v="2023-09-07T00:00:00"/>
    <x v="2"/>
    <s v="Hindi"/>
    <s v="Atlee"/>
    <s v="Action"/>
    <n v="300"/>
    <n v="640"/>
    <n v="1100"/>
    <n v="460"/>
    <s v="Blockbuster"/>
    <n v="85"/>
    <s v="Netflix"/>
    <n v="2.1333333333333333"/>
    <x v="12"/>
    <n v="0"/>
    <m/>
    <m/>
    <n v="1"/>
  </r>
  <r>
    <s v="Salaar"/>
    <d v="2023-12-22T00:00:00"/>
    <x v="0"/>
    <s v="Telugu"/>
    <s v="Prashanth Neel"/>
    <s v="Action"/>
    <n v="400"/>
    <n v="500"/>
    <n v="900"/>
    <n v="400"/>
    <s v="Hit"/>
    <n v="80"/>
    <s v="Netflix"/>
    <n v="1.25"/>
    <x v="0"/>
    <n v="120"/>
    <n v="2023"/>
    <n v="7.5"/>
    <n v="1"/>
  </r>
  <r>
    <s v="Jailer"/>
    <d v="2023-08-10T00:00:00"/>
    <x v="3"/>
    <s v="Tamil"/>
    <s v="Nelson"/>
    <s v="Action"/>
    <n v="200"/>
    <n v="350"/>
    <n v="600"/>
    <n v="250"/>
    <s v="Blockbuster"/>
    <n v="90"/>
    <s v="Prime"/>
    <n v="1.75"/>
    <x v="13"/>
    <n v="110"/>
    <n v="2023"/>
    <n v="5.45"/>
    <n v="1"/>
  </r>
  <r>
    <s v="Dangal"/>
    <d v="2016-12-23T00:00:00"/>
    <x v="2"/>
    <s v="Hindi"/>
    <s v="Nitesh Tiwari"/>
    <s v="Drama"/>
    <n v="70"/>
    <n v="387"/>
    <n v="2000"/>
    <n v="1600"/>
    <s v="AllTimeBlockbuster"/>
    <n v="150"/>
    <s v="Hotstar"/>
    <n v="5.5285714285714285"/>
    <x v="14"/>
    <n v="0"/>
    <m/>
    <m/>
    <n v="1"/>
  </r>
  <r>
    <s v="Animal"/>
    <d v="2023-12-01T00:00:00"/>
    <x v="2"/>
    <s v="Hindi"/>
    <s v="Sandeep Reddy"/>
    <s v="Action/Drama"/>
    <n v="200"/>
    <n v="600"/>
    <n v="900"/>
    <n v="300"/>
    <s v="SuperHit"/>
    <n v="85"/>
    <s v="Netflix"/>
    <n v="3"/>
    <x v="15"/>
    <n v="70"/>
    <n v="2023"/>
    <n v="12.86"/>
    <n v="1"/>
  </r>
  <r>
    <s v="Tiger 3"/>
    <d v="2023-11-12T00:00:00"/>
    <x v="2"/>
    <s v="Hindi"/>
    <s v="Maneesh Sharma"/>
    <s v="Action"/>
    <n v="300"/>
    <n v="280"/>
    <n v="450"/>
    <n v="170"/>
    <s v="Average"/>
    <n v="50"/>
    <s v="Prime"/>
    <n v="0.93333333333333335"/>
    <x v="16"/>
    <n v="100"/>
    <n v="2023"/>
    <n v="4.5"/>
    <n v="0"/>
  </r>
  <r>
    <s v="Leo"/>
    <d v="2023-10-19T00:00:00"/>
    <x v="3"/>
    <s v="Tamil"/>
    <s v="Lokesh Kanagaraj"/>
    <s v="Action"/>
    <n v="250"/>
    <n v="350"/>
    <n v="600"/>
    <n v="250"/>
    <s v="Hit"/>
    <n v="80"/>
    <s v="Netflix"/>
    <n v="1.4"/>
    <x v="17"/>
    <n v="0"/>
    <m/>
    <m/>
    <n v="1"/>
  </r>
  <r>
    <s v="Drishyam 2"/>
    <d v="2022-11-18T00:00:00"/>
    <x v="2"/>
    <s v="Hindi"/>
    <s v="Abhishek Pathak"/>
    <s v="Thriller"/>
    <n v="50"/>
    <n v="240"/>
    <n v="350"/>
    <n v="110"/>
    <s v="Hit"/>
    <n v="70"/>
    <s v="Hotstar"/>
    <n v="4.8"/>
    <x v="18"/>
    <n v="30"/>
    <n v="2022"/>
    <n v="11.67"/>
    <n v="1"/>
  </r>
  <r>
    <s v="War"/>
    <d v="2019-02-10T00:00:00"/>
    <x v="2"/>
    <s v="Hindi"/>
    <s v="Siddharth Anand"/>
    <s v="Action"/>
    <n v="170"/>
    <n v="300"/>
    <n v="475"/>
    <n v="175"/>
    <s v="Hit"/>
    <n v="70"/>
    <s v="Prime"/>
    <n v="1.7647058823529411"/>
    <x v="19"/>
    <n v="60"/>
    <n v="2019"/>
    <n v="7.92"/>
    <n v="1"/>
  </r>
  <r>
    <s v="Vikram"/>
    <d v="2022-03-06T00:00:00"/>
    <x v="3"/>
    <s v="Tamil"/>
    <s v="Lokesh"/>
    <s v="Action"/>
    <n v="120"/>
    <n v="250"/>
    <n v="450"/>
    <n v="200"/>
    <s v="Blockbuster"/>
    <n v="90"/>
    <s v="Hotstar"/>
    <n v="2.0833333333333335"/>
    <x v="20"/>
    <n v="0"/>
    <m/>
    <m/>
    <n v="1"/>
  </r>
  <r>
    <s v="Kantara"/>
    <d v="2022-09-30T00:00:00"/>
    <x v="1"/>
    <s v="Kannada"/>
    <s v="Rishab Shetty"/>
    <s v="Drama"/>
    <n v="20"/>
    <n v="300"/>
    <n v="350"/>
    <n v="50"/>
    <s v="Blockbuster"/>
    <n v="120"/>
    <s v="Netflix"/>
    <n v="15"/>
    <x v="21"/>
    <n v="5"/>
    <n v="2022"/>
    <n v="70"/>
    <n v="1"/>
  </r>
  <r>
    <s v="Kgf Chapter 1"/>
    <d v="2018-12-21T00:00:00"/>
    <x v="1"/>
    <s v="Kannada"/>
    <s v="Prashanth Neel"/>
    <s v="Action"/>
    <n v="80"/>
    <n v="240"/>
    <n v="400"/>
    <n v="160"/>
    <s v="Hit"/>
    <n v="85"/>
    <s v="Prime"/>
    <n v="3"/>
    <x v="4"/>
    <n v="0"/>
    <m/>
    <m/>
    <n v="1"/>
  </r>
  <r>
    <s v="War"/>
    <d v="2019-02-10T00:00:00"/>
    <x v="2"/>
    <s v="Hindi"/>
    <s v="Siddharth Anand"/>
    <s v="Action"/>
    <n v="170"/>
    <n v="300"/>
    <n v="475"/>
    <n v="175"/>
    <s v="Hit"/>
    <n v="70"/>
    <s v="Prime"/>
    <n v="1.7647058823529411"/>
    <x v="22"/>
    <n v="0"/>
    <m/>
    <m/>
    <n v="1"/>
  </r>
  <r>
    <s v="Pathaan"/>
    <d v="2023-01-25T00:00:00"/>
    <x v="2"/>
    <s v="Hindi"/>
    <s v="Siddharth Anand"/>
    <s v="Action"/>
    <n v="250"/>
    <n v="540"/>
    <n v="1050"/>
    <n v="510"/>
    <s v="Blockbuster"/>
    <n v="95"/>
    <s v="Prime"/>
    <n v="2.16"/>
    <x v="7"/>
    <n v="0"/>
    <m/>
    <m/>
    <n v="1"/>
  </r>
  <r>
    <s v="Pathaan"/>
    <d v="2023-01-25T00:00:00"/>
    <x v="2"/>
    <s v="Hindi"/>
    <s v="Siddharth Anand"/>
    <s v="Action"/>
    <n v="250"/>
    <n v="540"/>
    <n v="1050"/>
    <n v="510"/>
    <s v="Blockbuster"/>
    <n v="95"/>
    <s v="Prime"/>
    <n v="2.16"/>
    <x v="23"/>
    <n v="0"/>
    <m/>
    <m/>
    <n v="1"/>
  </r>
  <r>
    <s v="Master"/>
    <d v="2021-01-13T00:00:00"/>
    <x v="3"/>
    <s v="Tamil"/>
    <s v="Lokesh Kanagaraj"/>
    <s v="Action"/>
    <n v="130"/>
    <n v="240"/>
    <n v="350"/>
    <n v="110"/>
    <s v="Hit"/>
    <n v="60"/>
    <s v="Prime"/>
    <n v="1.8461538461538463"/>
    <x v="10"/>
    <n v="0"/>
    <m/>
    <m/>
    <n v="1"/>
  </r>
  <r>
    <s v="Master"/>
    <d v="2021-01-13T00:00:00"/>
    <x v="3"/>
    <s v="Tamil"/>
    <s v="Lokesh Kanagaraj"/>
    <s v="Action"/>
    <n v="130"/>
    <n v="240"/>
    <n v="350"/>
    <n v="110"/>
    <s v="Hit"/>
    <n v="60"/>
    <s v="Prime"/>
    <n v="1.8461538461538463"/>
    <x v="24"/>
    <n v="0"/>
    <m/>
    <m/>
    <n v="1"/>
  </r>
  <r>
    <s v="Drishyam 2"/>
    <d v="2022-11-18T00:00:00"/>
    <x v="2"/>
    <s v="Hindi"/>
    <s v="Abhishek Pathak"/>
    <s v="Thriller"/>
    <n v="50"/>
    <n v="240"/>
    <n v="350"/>
    <n v="110"/>
    <s v="Hit"/>
    <n v="70"/>
    <s v="Hotstar"/>
    <n v="4.8"/>
    <x v="25"/>
    <n v="0"/>
    <m/>
    <m/>
    <n v="1"/>
  </r>
  <r>
    <s v="Tiger 3"/>
    <d v="2023-11-12T00:00:00"/>
    <x v="2"/>
    <s v="Hindi"/>
    <s v="Maneesh Sharma"/>
    <s v="Action"/>
    <n v="300"/>
    <n v="280"/>
    <n v="450"/>
    <n v="170"/>
    <s v="Average"/>
    <n v="50"/>
    <s v="Prime"/>
    <n v="0.93333333333333335"/>
    <x v="26"/>
    <n v="0"/>
    <m/>
    <m/>
    <n v="0"/>
  </r>
  <r>
    <s v="Salaar"/>
    <d v="2023-12-22T00:00:00"/>
    <x v="0"/>
    <s v="Telugu"/>
    <s v="Prashanth Neel"/>
    <s v="Action"/>
    <n v="400"/>
    <n v="500"/>
    <n v="900"/>
    <n v="400"/>
    <s v="Hit"/>
    <n v="80"/>
    <s v="Netflix"/>
    <n v="1.25"/>
    <x v="27"/>
    <n v="0"/>
    <m/>
    <m/>
    <n v="1"/>
  </r>
  <r>
    <s v="Lucifer"/>
    <d v="2019-03-28T00:00:00"/>
    <x v="4"/>
    <s v="Malayalam"/>
    <s v="Prithviraj Sukumaran"/>
    <s v="Action/Drama"/>
    <n v="30"/>
    <n v="130"/>
    <n v="200"/>
    <n v="70"/>
    <s v="Blockbuster"/>
    <n v="95"/>
    <s v="Prime"/>
    <n v="4.333333333333333"/>
    <x v="28"/>
    <n v="20"/>
    <n v="2019"/>
    <n v="10"/>
    <n v="1"/>
  </r>
  <r>
    <s v="Pulimurugan"/>
    <d v="2016-10-07T00:00:00"/>
    <x v="4"/>
    <s v="Malayalam"/>
    <s v="Vysakh"/>
    <s v="Action"/>
    <n v="25"/>
    <n v="100"/>
    <n v="150"/>
    <n v="50"/>
    <s v="Hit"/>
    <n v="80"/>
    <s v="Hotstar"/>
    <n v="4"/>
    <x v="28"/>
    <n v="20"/>
    <n v="2016"/>
    <n v="7.5"/>
    <n v="1"/>
  </r>
  <r>
    <s v="Drishyam 2"/>
    <d v="2021-02-19T00:00:00"/>
    <x v="4"/>
    <s v="Malayalam"/>
    <s v="Jeethu Joseph"/>
    <s v="Thriller"/>
    <n v="50"/>
    <n v="250"/>
    <n v="300"/>
    <n v="50"/>
    <s v="SuperHit"/>
    <n v="75"/>
    <s v="Hotstar"/>
    <n v="5"/>
    <x v="28"/>
    <n v="25"/>
    <n v="2021"/>
    <n v="12"/>
    <n v="1"/>
  </r>
  <r>
    <s v="Premam"/>
    <d v="2015-05-29T00:00:00"/>
    <x v="4"/>
    <s v="Malayalam"/>
    <s v="Alphonse Puthren"/>
    <s v="Romance/Drama"/>
    <n v="10"/>
    <n v="60"/>
    <n v="75"/>
    <n v="15"/>
    <s v="Blockbuster"/>
    <n v="120"/>
    <s v="Netflix"/>
    <n v="6"/>
    <x v="29"/>
    <n v="5"/>
    <n v="2015"/>
    <n v="15"/>
    <n v="1"/>
  </r>
  <r>
    <s v="Minnal Murali"/>
    <d v="2021-12-24T00:00:00"/>
    <x v="4"/>
    <s v="Malayalam"/>
    <s v="Basil Joseph"/>
    <s v="Superhero/Drama"/>
    <n v="18"/>
    <n v="50"/>
    <n v="70"/>
    <n v="20"/>
    <s v="Hit"/>
    <n v="65"/>
    <s v="Netflix"/>
    <n v="2.7777777777777777"/>
    <x v="30"/>
    <n v="8"/>
    <n v="2021"/>
    <n v="8.75"/>
    <n v="1"/>
  </r>
  <r>
    <s v="2018"/>
    <d v="2023-05-05T00:00:00"/>
    <x v="4"/>
    <s v="Malayalam"/>
    <s v="Jude Anthany Joseph"/>
    <s v="Drama"/>
    <n v="30"/>
    <n v="200"/>
    <n v="250"/>
    <n v="50"/>
    <s v="Blockbuster"/>
    <n v="100"/>
    <s v="SonyLiv"/>
    <n v="6.666666666666667"/>
    <x v="30"/>
    <n v="10"/>
    <n v="2023"/>
    <n v="25"/>
    <n v="1"/>
  </r>
  <r>
    <s v="2018"/>
    <d v="2023-05-05T00:00:00"/>
    <x v="4"/>
    <s v="Malayalam"/>
    <s v="Jude Anthany Joseph"/>
    <s v="Drama"/>
    <n v="30"/>
    <n v="200"/>
    <n v="250"/>
    <n v="50"/>
    <s v="Blockbuster"/>
    <n v="100"/>
    <s v="SonyLiv"/>
    <n v="6.666666666666667"/>
    <x v="31"/>
    <n v="0"/>
    <m/>
    <m/>
    <n v="1"/>
  </r>
  <r>
    <s v="Bheeshma Parvam"/>
    <d v="2022-03-03T00:00:00"/>
    <x v="4"/>
    <s v="Malayalam"/>
    <s v="Amal Neerad"/>
    <s v="Action/Drama"/>
    <n v="20"/>
    <n v="90"/>
    <n v="115"/>
    <n v="25"/>
    <s v="Hit"/>
    <n v="70"/>
    <s v="Hotstar"/>
    <n v="4.5"/>
    <x v="32"/>
    <n v="15"/>
    <n v="2022"/>
    <n v="7.67"/>
    <n v="1"/>
  </r>
  <r>
    <s v="Kurup"/>
    <d v="2021-11-12T00:00:00"/>
    <x v="4"/>
    <s v="Malayalam"/>
    <s v="Srinath Rajendran"/>
    <s v="Crime/Drama"/>
    <n v="35"/>
    <n v="80"/>
    <n v="100"/>
    <n v="20"/>
    <s v="Hit"/>
    <n v="60"/>
    <s v="Netflix"/>
    <n v="2.2857142857142856"/>
    <x v="33"/>
    <n v="12"/>
    <n v="2021"/>
    <n v="8.33"/>
    <n v="1"/>
  </r>
  <r>
    <s v="Aavesham"/>
    <d v="2024-04-11T00:00:00"/>
    <x v="4"/>
    <s v="Malayalam"/>
    <s v="Jithu Madhavan"/>
    <s v="Comedy/Action"/>
    <n v="25"/>
    <n v="120"/>
    <n v="150"/>
    <n v="30"/>
    <s v="Blockbuster"/>
    <n v="85"/>
    <s v="Prime"/>
    <n v="4.8"/>
    <x v="20"/>
    <n v="10"/>
    <n v="2024"/>
    <n v="15"/>
    <n v="1"/>
  </r>
  <r>
    <s v="Rdx"/>
    <d v="2023-08-25T00:00:00"/>
    <x v="4"/>
    <s v="Malayalam"/>
    <s v="Nahas Hidayath"/>
    <s v="Action"/>
    <n v="20"/>
    <n v="85"/>
    <n v="100"/>
    <n v="15"/>
    <s v="Hit"/>
    <n v="70"/>
    <s v="Netflix"/>
    <n v="4.25"/>
    <x v="34"/>
    <n v="0"/>
    <m/>
    <m/>
    <n v="1"/>
  </r>
  <r>
    <s v="Rdx"/>
    <d v="2023-08-25T00:00:00"/>
    <x v="4"/>
    <s v="Malayalam"/>
    <s v="Nahas Hidayath"/>
    <s v="Action"/>
    <n v="20"/>
    <n v="85"/>
    <n v="100"/>
    <n v="15"/>
    <s v="Hit"/>
    <n v="70"/>
    <s v="Netflix"/>
    <n v="4.25"/>
    <x v="35"/>
    <n v="0"/>
    <m/>
    <m/>
    <n v="1"/>
  </r>
  <r>
    <s v="Malik"/>
    <d v="2021-07-15T00:00:00"/>
    <x v="4"/>
    <s v="Malayalam"/>
    <s v="mahesh narayanan"/>
    <s v="Drama"/>
    <n v="25"/>
    <n v="60"/>
    <n v="75"/>
    <n v="15"/>
    <s v="Average"/>
    <n v="55"/>
    <s v="Prime"/>
    <n v="2.4"/>
    <x v="20"/>
    <n v="7"/>
    <n v="2021"/>
    <n v="10.71"/>
    <n v="0"/>
  </r>
  <r>
    <s v="Kumbalangi Nights"/>
    <d v="2019-02-07T00:00:00"/>
    <x v="4"/>
    <s v="Malayalam"/>
    <s v="Madhu C Narayanan"/>
    <s v="Drama"/>
    <n v="8"/>
    <n v="50"/>
    <n v="65"/>
    <n v="15"/>
    <s v="Blockbuster"/>
    <n v="95"/>
    <s v="Prime"/>
    <n v="6.25"/>
    <x v="20"/>
    <n v="0"/>
    <m/>
    <m/>
    <n v="1"/>
  </r>
  <r>
    <s v="Kumbalangi Nights"/>
    <d v="2019-02-07T00:00:00"/>
    <x v="4"/>
    <s v="Malayalam"/>
    <s v="Madhu C Narayanan"/>
    <s v="Drama"/>
    <n v="8"/>
    <n v="50"/>
    <n v="65"/>
    <n v="15"/>
    <s v="Blockbuster"/>
    <n v="95"/>
    <s v="Prime"/>
    <n v="6.25"/>
    <x v="35"/>
    <n v="0"/>
    <m/>
    <m/>
    <n v="1"/>
  </r>
  <r>
    <s v="Hridayam"/>
    <d v="2022-01-21T00:00:00"/>
    <x v="4"/>
    <s v="Malayalam"/>
    <s v="Vineeth Sreenivasan"/>
    <s v="Romance/Drama"/>
    <n v="15"/>
    <n v="60"/>
    <n v="80"/>
    <n v="20"/>
    <s v="Hit"/>
    <n v="75"/>
    <s v="Hotstar"/>
    <n v="4"/>
    <x v="36"/>
    <n v="0"/>
    <m/>
    <m/>
    <n v="1"/>
  </r>
  <r>
    <s v="Driving Licence"/>
    <d v="2019-12-20T00:00:00"/>
    <x v="4"/>
    <s v="Malayalam"/>
    <s v="Lal Jr"/>
    <s v="Drama"/>
    <n v="12"/>
    <n v="55"/>
    <n v="70"/>
    <n v="15"/>
    <s v="Hit"/>
    <n v="70"/>
    <s v="Prime"/>
    <n v="4.583333333333333"/>
    <x v="37"/>
    <n v="0"/>
    <m/>
    <m/>
    <n v="1"/>
  </r>
  <r>
    <s v="Driving Licence"/>
    <d v="2019-12-20T00:00:00"/>
    <x v="4"/>
    <s v="Malayalam"/>
    <s v="Lal Jr"/>
    <s v="Drama"/>
    <n v="12"/>
    <n v="55"/>
    <n v="70"/>
    <n v="15"/>
    <s v="Hit"/>
    <n v="70"/>
    <s v="Prime"/>
    <n v="4.583333333333333"/>
    <x v="38"/>
    <n v="0"/>
    <m/>
    <m/>
    <n v="1"/>
  </r>
  <r>
    <s v="King Of Kotha"/>
    <d v="2023-08-24T00:00:00"/>
    <x v="4"/>
    <s v="Malayalam"/>
    <s v="Abhilash Joshiy"/>
    <s v="Action"/>
    <n v="50"/>
    <n v="45"/>
    <n v="70"/>
    <n v="25"/>
    <s v="Flop"/>
    <n v="45"/>
    <s v="Hotstar"/>
    <n v="0.9"/>
    <x v="33"/>
    <n v="15"/>
    <n v="2023"/>
    <n v="4.6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CF1BB1-8B25-4876-865D-F2E772350C9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8:B37" firstHeaderRow="1" firstDataRow="1" firstDataCol="1"/>
  <pivotFields count="19">
    <pivotField dataField="1" showAll="0"/>
    <pivotField numFmtId="14" showAll="0">
      <items count="34">
        <item x="21"/>
        <item x="0"/>
        <item x="19"/>
        <item x="5"/>
        <item x="8"/>
        <item x="29"/>
        <item x="9"/>
        <item x="18"/>
        <item x="31"/>
        <item x="11"/>
        <item x="20"/>
        <item x="28"/>
        <item x="25"/>
        <item x="3"/>
        <item x="22"/>
        <item x="30"/>
        <item x="24"/>
        <item x="7"/>
        <item x="1"/>
        <item x="2"/>
        <item x="12"/>
        <item x="13"/>
        <item x="10"/>
        <item x="23"/>
        <item x="16"/>
        <item x="32"/>
        <item x="27"/>
        <item x="4"/>
        <item x="6"/>
        <item x="14"/>
        <item x="17"/>
        <item x="15"/>
        <item x="26"/>
        <item t="default"/>
      </items>
    </pivotField>
    <pivotField showAll="0">
      <items count="6">
        <item x="2"/>
        <item x="3"/>
        <item x="4"/>
        <item x="1"/>
        <item x="0"/>
        <item t="default"/>
      </items>
    </pivotField>
    <pivotField showAll="0"/>
    <pivotField showAll="0"/>
    <pivotField showAll="0"/>
    <pivotField showAll="0">
      <items count="9">
        <item x="0"/>
        <item x="1"/>
        <item x="7"/>
        <item x="6"/>
        <item x="2"/>
        <item x="4"/>
        <item x="5"/>
        <item x="3"/>
        <item t="default"/>
      </items>
    </pivotField>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3">
        <item sd="0" x="0"/>
        <item x="1"/>
        <item x="2"/>
        <item sd="0" x="3"/>
        <item sd="0" x="4"/>
        <item sd="0" x="5"/>
        <item sd="0" x="6"/>
        <item sd="0" x="7"/>
        <item sd="0" x="8"/>
        <item sd="0" x="9"/>
        <item sd="0" x="10"/>
        <item sd="0" x="11"/>
        <item t="default"/>
      </items>
    </pivotField>
  </pivotFields>
  <rowFields count="1">
    <field x="18"/>
  </rowFields>
  <rowItems count="9">
    <i>
      <x v="1"/>
    </i>
    <i>
      <x v="2"/>
    </i>
    <i>
      <x v="4"/>
    </i>
    <i>
      <x v="5"/>
    </i>
    <i>
      <x v="7"/>
    </i>
    <i>
      <x v="8"/>
    </i>
    <i>
      <x v="9"/>
    </i>
    <i>
      <x v="10"/>
    </i>
    <i t="grand">
      <x/>
    </i>
  </rowItems>
  <colItems count="1">
    <i/>
  </colItems>
  <dataFields count="1">
    <dataField name="Count of Movie_Title" fld="0" subtotal="count" baseField="0" baseItem="0"/>
  </dataFields>
  <chartFormats count="1">
    <chartFormat chart="8"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B98104-14FD-4220-8451-87200D45B99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5:B11" firstHeaderRow="1" firstDataRow="1" firstDataCol="1"/>
  <pivotFields count="19">
    <pivotField showAll="0"/>
    <pivotField numFmtId="14" showAll="0">
      <items count="34">
        <item x="21"/>
        <item x="0"/>
        <item x="19"/>
        <item x="5"/>
        <item x="8"/>
        <item x="29"/>
        <item x="9"/>
        <item x="18"/>
        <item x="31"/>
        <item x="11"/>
        <item x="20"/>
        <item x="28"/>
        <item x="25"/>
        <item x="3"/>
        <item x="22"/>
        <item x="30"/>
        <item x="24"/>
        <item x="7"/>
        <item x="1"/>
        <item x="2"/>
        <item x="12"/>
        <item x="13"/>
        <item x="10"/>
        <item x="23"/>
        <item x="16"/>
        <item x="32"/>
        <item x="27"/>
        <item x="4"/>
        <item x="6"/>
        <item x="14"/>
        <item x="17"/>
        <item x="15"/>
        <item x="26"/>
        <item t="default"/>
      </items>
    </pivotField>
    <pivotField axis="axisRow" showAll="0">
      <items count="6">
        <item x="2"/>
        <item x="3"/>
        <item x="4"/>
        <item x="1"/>
        <item x="0"/>
        <item t="default"/>
      </items>
    </pivotField>
    <pivotField showAll="0"/>
    <pivotField showAll="0"/>
    <pivotField showAll="0"/>
    <pivotField showAll="0">
      <items count="9">
        <item x="0"/>
        <item x="1"/>
        <item x="7"/>
        <item x="6"/>
        <item x="2"/>
        <item x="4"/>
        <item x="5"/>
        <item x="3"/>
        <item t="default"/>
      </items>
    </pivotField>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2"/>
  </rowFields>
  <rowItems count="6">
    <i>
      <x/>
    </i>
    <i>
      <x v="1"/>
    </i>
    <i>
      <x v="2"/>
    </i>
    <i>
      <x v="3"/>
    </i>
    <i>
      <x v="4"/>
    </i>
    <i t="grand">
      <x/>
    </i>
  </rowItems>
  <colItems count="1">
    <i/>
  </colItems>
  <dataFields count="1">
    <dataField name="Sum of Worldwide_Gross_Cr" fld="9" baseField="0" baseItem="0"/>
  </dataFields>
  <chartFormats count="6">
    <chartFormat chart="16" format="25" series="1">
      <pivotArea type="data" outline="0" fieldPosition="0">
        <references count="1">
          <reference field="4294967294" count="1" selected="0">
            <x v="0"/>
          </reference>
        </references>
      </pivotArea>
    </chartFormat>
    <chartFormat chart="16" format="26">
      <pivotArea type="data" outline="0" fieldPosition="0">
        <references count="2">
          <reference field="4294967294" count="1" selected="0">
            <x v="0"/>
          </reference>
          <reference field="2" count="1" selected="0">
            <x v="0"/>
          </reference>
        </references>
      </pivotArea>
    </chartFormat>
    <chartFormat chart="16" format="27">
      <pivotArea type="data" outline="0" fieldPosition="0">
        <references count="2">
          <reference field="4294967294" count="1" selected="0">
            <x v="0"/>
          </reference>
          <reference field="2" count="1" selected="0">
            <x v="1"/>
          </reference>
        </references>
      </pivotArea>
    </chartFormat>
    <chartFormat chart="16" format="28">
      <pivotArea type="data" outline="0" fieldPosition="0">
        <references count="2">
          <reference field="4294967294" count="1" selected="0">
            <x v="0"/>
          </reference>
          <reference field="2" count="1" selected="0">
            <x v="2"/>
          </reference>
        </references>
      </pivotArea>
    </chartFormat>
    <chartFormat chart="16" format="29">
      <pivotArea type="data" outline="0" fieldPosition="0">
        <references count="2">
          <reference field="4294967294" count="1" selected="0">
            <x v="0"/>
          </reference>
          <reference field="2" count="1" selected="0">
            <x v="3"/>
          </reference>
        </references>
      </pivotArea>
    </chartFormat>
    <chartFormat chart="16" format="30">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BE84CA-2FB0-4A13-8267-E085955374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2" firstHeaderRow="0" firstDataRow="1" firstDataCol="0"/>
  <pivotFields count="19">
    <pivotField dataField="1" showAll="0"/>
    <pivotField numFmtId="14" showAll="0">
      <items count="34">
        <item x="21"/>
        <item x="0"/>
        <item x="19"/>
        <item x="5"/>
        <item x="8"/>
        <item x="29"/>
        <item x="9"/>
        <item x="18"/>
        <item x="31"/>
        <item x="11"/>
        <item x="20"/>
        <item x="28"/>
        <item x="25"/>
        <item x="3"/>
        <item x="22"/>
        <item x="30"/>
        <item x="24"/>
        <item x="7"/>
        <item x="1"/>
        <item x="2"/>
        <item x="12"/>
        <item x="13"/>
        <item x="10"/>
        <item x="23"/>
        <item x="16"/>
        <item x="32"/>
        <item x="27"/>
        <item x="4"/>
        <item x="6"/>
        <item x="14"/>
        <item x="17"/>
        <item x="15"/>
        <item x="26"/>
        <item t="default"/>
      </items>
    </pivotField>
    <pivotField showAll="0">
      <items count="6">
        <item x="2"/>
        <item x="3"/>
        <item x="4"/>
        <item x="1"/>
        <item x="0"/>
        <item t="default"/>
      </items>
    </pivotField>
    <pivotField showAll="0"/>
    <pivotField showAll="0"/>
    <pivotField showAll="0"/>
    <pivotField showAll="0">
      <items count="9">
        <item x="0"/>
        <item x="1"/>
        <item x="7"/>
        <item x="6"/>
        <item x="2"/>
        <item x="4"/>
        <item x="5"/>
        <item x="3"/>
        <item t="default"/>
      </items>
    </pivotField>
    <pivotField dataField="1" showAll="0"/>
    <pivotField showAll="0"/>
    <pivotField dataField="1"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Items count="1">
    <i/>
  </rowItems>
  <colFields count="1">
    <field x="-2"/>
  </colFields>
  <colItems count="4">
    <i>
      <x/>
    </i>
    <i i="1">
      <x v="1"/>
    </i>
    <i i="2">
      <x v="2"/>
    </i>
    <i i="3">
      <x v="3"/>
    </i>
  </colItems>
  <dataFields count="4">
    <dataField name="Sum of Worldwide_Gross_Cr" fld="9" baseField="0" baseItem="0"/>
    <dataField name="Count of Movie_Title" fld="0" subtotal="count" baseField="0" baseItem="0"/>
    <dataField name="Average of Budget_Cr" fld="7" subtotal="average" baseField="0" baseItem="1"/>
    <dataField name="Sum of ROI" fld="14"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B9E788-C3CC-4554-B382-1E45005BCDC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5" firstHeaderRow="1" firstDataRow="1" firstDataCol="1"/>
  <pivotFields count="19">
    <pivotField axis="axisRow" showAll="0" measureFilter="1" sortType="ascending">
      <items count="33">
        <item x="22"/>
        <item x="25"/>
        <item x="17"/>
        <item x="0"/>
        <item x="23"/>
        <item x="5"/>
        <item x="13"/>
        <item x="30"/>
        <item x="29"/>
        <item x="16"/>
        <item x="4"/>
        <item x="12"/>
        <item x="2"/>
        <item x="8"/>
        <item x="31"/>
        <item x="28"/>
        <item x="24"/>
        <item x="6"/>
        <item x="18"/>
        <item x="27"/>
        <item x="11"/>
        <item x="21"/>
        <item x="10"/>
        <item x="20"/>
        <item x="19"/>
        <item x="3"/>
        <item x="26"/>
        <item x="1"/>
        <item x="15"/>
        <item x="14"/>
        <item x="7"/>
        <item x="9"/>
        <item t="default"/>
      </items>
      <autoSortScope>
        <pivotArea dataOnly="0" outline="0" fieldPosition="0">
          <references count="1">
            <reference field="4294967294" count="1" selected="0">
              <x v="0"/>
            </reference>
          </references>
        </pivotArea>
      </autoSortScope>
    </pivotField>
    <pivotField numFmtId="14" showAll="0">
      <items count="34">
        <item x="21"/>
        <item x="0"/>
        <item x="19"/>
        <item x="5"/>
        <item x="8"/>
        <item x="29"/>
        <item x="9"/>
        <item x="18"/>
        <item x="31"/>
        <item x="11"/>
        <item x="20"/>
        <item x="28"/>
        <item x="25"/>
        <item x="3"/>
        <item x="22"/>
        <item x="30"/>
        <item x="24"/>
        <item x="7"/>
        <item x="1"/>
        <item x="2"/>
        <item x="12"/>
        <item x="13"/>
        <item x="10"/>
        <item x="23"/>
        <item x="16"/>
        <item x="32"/>
        <item x="27"/>
        <item x="4"/>
        <item x="6"/>
        <item x="14"/>
        <item x="17"/>
        <item x="15"/>
        <item x="2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defaultSubtotal="0"/>
    <pivotField showAll="0" defaultSubtotal="0"/>
    <pivotField showAll="0" defaultSubtotal="0">
      <items count="12">
        <item x="0"/>
        <item x="1"/>
        <item x="2"/>
        <item x="3"/>
        <item x="4"/>
        <item x="5"/>
        <item x="6"/>
        <item x="7"/>
        <item x="8"/>
        <item x="9"/>
        <item x="10"/>
        <item x="11"/>
      </items>
    </pivotField>
  </pivotFields>
  <rowFields count="1">
    <field x="0"/>
  </rowFields>
  <rowItems count="12">
    <i>
      <x v="9"/>
    </i>
    <i>
      <x v="17"/>
    </i>
    <i>
      <x v="3"/>
    </i>
    <i>
      <x v="6"/>
    </i>
    <i>
      <x v="28"/>
    </i>
    <i>
      <x v="2"/>
    </i>
    <i>
      <x v="22"/>
    </i>
    <i>
      <x v="10"/>
    </i>
    <i>
      <x v="27"/>
    </i>
    <i>
      <x v="12"/>
    </i>
    <i>
      <x v="5"/>
    </i>
    <i t="grand">
      <x/>
    </i>
  </rowItems>
  <colItems count="1">
    <i/>
  </colItems>
  <dataFields count="1">
    <dataField name="Sum of Worldwide_Gross_Cr" fld="9" baseField="0" baseItem="0" numFmtId="165"/>
  </dataFields>
  <formats count="2">
    <format dxfId="36">
      <pivotArea grandRow="1" outline="0" collapsedLevelsAreSubtotals="1" fieldPosition="0"/>
    </format>
    <format dxfId="35">
      <pivotArea outline="0" collapsedLevelsAreSubtotals="1" fieldPosition="0"/>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E039C1-4413-47CC-B272-A818391A76D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76:B85" firstHeaderRow="1" firstDataRow="1" firstDataCol="1"/>
  <pivotFields count="19">
    <pivotField showAll="0"/>
    <pivotField numFmtId="14" showAll="0">
      <items count="34">
        <item x="21"/>
        <item x="0"/>
        <item x="19"/>
        <item x="5"/>
        <item x="8"/>
        <item x="29"/>
        <item x="9"/>
        <item x="18"/>
        <item x="31"/>
        <item x="11"/>
        <item x="20"/>
        <item x="28"/>
        <item x="25"/>
        <item x="3"/>
        <item x="22"/>
        <item x="30"/>
        <item x="24"/>
        <item x="7"/>
        <item x="1"/>
        <item x="2"/>
        <item x="12"/>
        <item x="13"/>
        <item x="10"/>
        <item x="23"/>
        <item x="16"/>
        <item x="32"/>
        <item x="27"/>
        <item x="4"/>
        <item x="6"/>
        <item x="14"/>
        <item x="17"/>
        <item x="15"/>
        <item x="2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defaultSubtotal="0"/>
    <pivotField showAll="0" defaultSubtotal="0"/>
    <pivotField axis="axisRow" showAll="0" defaultSubtotal="0">
      <items count="12">
        <item x="0"/>
        <item x="1"/>
        <item x="2"/>
        <item x="3"/>
        <item x="4"/>
        <item x="5"/>
        <item x="6"/>
        <item x="7"/>
        <item x="8"/>
        <item x="9"/>
        <item x="10"/>
        <item x="11"/>
      </items>
    </pivotField>
  </pivotFields>
  <rowFields count="1">
    <field x="18"/>
  </rowFields>
  <rowItems count="9">
    <i>
      <x v="1"/>
    </i>
    <i>
      <x v="2"/>
    </i>
    <i>
      <x v="4"/>
    </i>
    <i>
      <x v="5"/>
    </i>
    <i>
      <x v="7"/>
    </i>
    <i>
      <x v="8"/>
    </i>
    <i>
      <x v="9"/>
    </i>
    <i>
      <x v="10"/>
    </i>
    <i t="grand">
      <x/>
    </i>
  </rowItems>
  <colItems count="1">
    <i/>
  </colItems>
  <dataFields count="1">
    <dataField name="Sum of Worldwide_Gross_Cr" fld="9" baseField="0" baseItem="0"/>
  </dataFields>
  <chartFormats count="2">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15BC34-2B68-4454-8E3A-06B2C7B5FF2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59:B66" firstHeaderRow="1" firstDataRow="1" firstDataCol="1"/>
  <pivotFields count="19">
    <pivotField showAll="0"/>
    <pivotField numFmtId="14" showAll="0">
      <items count="34">
        <item x="21"/>
        <item x="0"/>
        <item x="19"/>
        <item x="5"/>
        <item x="8"/>
        <item x="29"/>
        <item x="9"/>
        <item x="18"/>
        <item x="31"/>
        <item x="11"/>
        <item x="20"/>
        <item x="28"/>
        <item x="25"/>
        <item x="3"/>
        <item x="22"/>
        <item x="30"/>
        <item x="24"/>
        <item x="7"/>
        <item x="1"/>
        <item x="2"/>
        <item x="12"/>
        <item x="13"/>
        <item x="10"/>
        <item x="23"/>
        <item x="16"/>
        <item x="32"/>
        <item x="27"/>
        <item x="4"/>
        <item x="6"/>
        <item x="14"/>
        <item x="17"/>
        <item x="15"/>
        <item x="26"/>
        <item t="default"/>
      </items>
    </pivotField>
    <pivotField showAll="0"/>
    <pivotField showAll="0"/>
    <pivotField showAll="0"/>
    <pivotField showAll="0"/>
    <pivotField showAll="0"/>
    <pivotField showAll="0"/>
    <pivotField showAll="0"/>
    <pivotField showAll="0"/>
    <pivotField showAll="0"/>
    <pivotField axis="axisRow" dataField="1" showAll="0">
      <items count="7">
        <item x="3"/>
        <item x="4"/>
        <item x="0"/>
        <item x="5"/>
        <item x="2"/>
        <item x="1"/>
        <item t="default"/>
      </items>
    </pivotField>
    <pivotField showAll="0"/>
    <pivotField showAll="0"/>
    <pivotField showAll="0"/>
    <pivotField showAll="0"/>
    <pivotField showAll="0" defaultSubtotal="0"/>
    <pivotField showAll="0" defaultSubtotal="0"/>
    <pivotField showAll="0" defaultSubtotal="0">
      <items count="12">
        <item x="0"/>
        <item x="1"/>
        <item x="2"/>
        <item x="3"/>
        <item x="4"/>
        <item x="5"/>
        <item x="6"/>
        <item x="7"/>
        <item x="8"/>
        <item x="9"/>
        <item x="10"/>
        <item x="11"/>
      </items>
    </pivotField>
  </pivotFields>
  <rowFields count="1">
    <field x="11"/>
  </rowFields>
  <rowItems count="7">
    <i>
      <x/>
    </i>
    <i>
      <x v="1"/>
    </i>
    <i>
      <x v="2"/>
    </i>
    <i>
      <x v="3"/>
    </i>
    <i>
      <x v="4"/>
    </i>
    <i>
      <x v="5"/>
    </i>
    <i t="grand">
      <x/>
    </i>
  </rowItems>
  <colItems count="1">
    <i/>
  </colItems>
  <dataFields count="1">
    <dataField name="Count of Verdict" fld="11" subtotal="count" baseField="0" baseItem="0"/>
  </dataFields>
  <chartFormats count="7">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1" count="1" selected="0">
            <x v="0"/>
          </reference>
        </references>
      </pivotArea>
    </chartFormat>
    <chartFormat chart="3" format="4">
      <pivotArea type="data" outline="0" fieldPosition="0">
        <references count="2">
          <reference field="4294967294" count="1" selected="0">
            <x v="0"/>
          </reference>
          <reference field="11" count="1" selected="0">
            <x v="1"/>
          </reference>
        </references>
      </pivotArea>
    </chartFormat>
    <chartFormat chart="3" format="5">
      <pivotArea type="data" outline="0" fieldPosition="0">
        <references count="2">
          <reference field="4294967294" count="1" selected="0">
            <x v="0"/>
          </reference>
          <reference field="11" count="1" selected="0">
            <x v="2"/>
          </reference>
        </references>
      </pivotArea>
    </chartFormat>
    <chartFormat chart="3" format="6">
      <pivotArea type="data" outline="0" fieldPosition="0">
        <references count="2">
          <reference field="4294967294" count="1" selected="0">
            <x v="0"/>
          </reference>
          <reference field="11" count="1" selected="0">
            <x v="3"/>
          </reference>
        </references>
      </pivotArea>
    </chartFormat>
    <chartFormat chart="3" format="7">
      <pivotArea type="data" outline="0" fieldPosition="0">
        <references count="2">
          <reference field="4294967294" count="1" selected="0">
            <x v="0"/>
          </reference>
          <reference field="11" count="1" selected="0">
            <x v="4"/>
          </reference>
        </references>
      </pivotArea>
    </chartFormat>
    <chartFormat chart="3" format="8">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681E3C-E4AB-4F51-86C9-0358FE35BE3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8:B52" firstHeaderRow="1" firstDataRow="1" firstDataCol="1"/>
  <pivotFields count="19">
    <pivotField showAll="0"/>
    <pivotField numFmtId="14" showAll="0">
      <items count="34">
        <item x="21"/>
        <item x="0"/>
        <item x="19"/>
        <item x="5"/>
        <item x="8"/>
        <item x="29"/>
        <item x="9"/>
        <item x="18"/>
        <item x="31"/>
        <item x="11"/>
        <item x="20"/>
        <item x="28"/>
        <item x="25"/>
        <item x="3"/>
        <item x="22"/>
        <item x="30"/>
        <item x="24"/>
        <item x="7"/>
        <item x="1"/>
        <item x="2"/>
        <item x="12"/>
        <item x="13"/>
        <item x="10"/>
        <item x="23"/>
        <item x="16"/>
        <item x="32"/>
        <item x="27"/>
        <item x="4"/>
        <item x="6"/>
        <item x="14"/>
        <item x="17"/>
        <item x="15"/>
        <item x="26"/>
        <item t="default"/>
      </items>
    </pivotField>
    <pivotField showAll="0"/>
    <pivotField showAll="0"/>
    <pivotField showAll="0"/>
    <pivotField showAll="0"/>
    <pivotField showAll="0"/>
    <pivotField axis="axisRow" showAll="0">
      <items count="24">
        <item x="20"/>
        <item x="17"/>
        <item x="22"/>
        <item x="21"/>
        <item x="18"/>
        <item x="11"/>
        <item x="16"/>
        <item x="15"/>
        <item x="19"/>
        <item x="12"/>
        <item x="5"/>
        <item x="8"/>
        <item x="2"/>
        <item x="7"/>
        <item x="10"/>
        <item x="3"/>
        <item x="9"/>
        <item x="0"/>
        <item x="14"/>
        <item x="6"/>
        <item x="4"/>
        <item x="13"/>
        <item x="1"/>
        <item t="default"/>
      </items>
    </pivotField>
    <pivotField showAll="0"/>
    <pivotField dataField="1" showAll="0"/>
    <pivotField showAll="0"/>
    <pivotField showAll="0"/>
    <pivotField showAll="0"/>
    <pivotField showAll="0"/>
    <pivotField showAll="0"/>
    <pivotField showAll="0"/>
    <pivotField showAll="0" defaultSubtotal="0"/>
    <pivotField showAll="0" defaultSubtotal="0"/>
    <pivotField showAll="0" defaultSubtotal="0">
      <items count="12">
        <item x="0"/>
        <item x="1"/>
        <item x="2"/>
        <item x="3"/>
        <item x="4"/>
        <item x="5"/>
        <item x="6"/>
        <item x="7"/>
        <item x="8"/>
        <item x="9"/>
        <item x="10"/>
        <item x="11"/>
      </items>
    </pivotField>
  </pivotFields>
  <rowFields count="1">
    <field x="7"/>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Worldwide_Gross_Cr" fld="9" baseField="0" baseItem="0"/>
  </dataFields>
  <chartFormats count="1">
    <chartFormat chart="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91B263-16DE-4D08-A440-7AB8957F58F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9">
    <pivotField showAll="0"/>
    <pivotField numFmtId="14" showAll="0">
      <items count="34">
        <item x="21"/>
        <item x="0"/>
        <item x="19"/>
        <item x="5"/>
        <item x="8"/>
        <item x="29"/>
        <item x="9"/>
        <item x="18"/>
        <item x="31"/>
        <item x="11"/>
        <item x="20"/>
        <item x="28"/>
        <item x="25"/>
        <item x="3"/>
        <item x="22"/>
        <item x="30"/>
        <item x="24"/>
        <item x="7"/>
        <item x="1"/>
        <item x="2"/>
        <item x="12"/>
        <item x="13"/>
        <item x="10"/>
        <item x="23"/>
        <item x="16"/>
        <item x="32"/>
        <item x="27"/>
        <item x="4"/>
        <item x="6"/>
        <item x="14"/>
        <item x="17"/>
        <item x="15"/>
        <item x="26"/>
        <item t="default"/>
      </items>
    </pivotField>
    <pivotField axis="axisRow" showAll="0">
      <items count="6">
        <item x="2"/>
        <item x="3"/>
        <item x="4"/>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9">
        <item x="0"/>
        <item x="4"/>
        <item x="5"/>
        <item x="6"/>
        <item x="2"/>
        <item x="1"/>
        <item x="3"/>
        <item x="7"/>
        <item t="default"/>
      </items>
    </pivotField>
    <pivotField showAll="0" defaultSubtotal="0"/>
    <pivotField showAll="0" defaultSubtotal="0"/>
    <pivotField showAll="0" defaultSubtotal="0">
      <items count="12">
        <item x="0"/>
        <item x="1"/>
        <item x="2"/>
        <item x="3"/>
        <item x="4"/>
        <item x="5"/>
        <item x="6"/>
        <item x="7"/>
        <item x="8"/>
        <item x="9"/>
        <item x="10"/>
        <item x="11"/>
      </items>
    </pivotField>
  </pivotFields>
  <rowFields count="1">
    <field x="2"/>
  </rowFields>
  <rowItems count="6">
    <i>
      <x/>
    </i>
    <i>
      <x v="1"/>
    </i>
    <i>
      <x v="2"/>
    </i>
    <i>
      <x v="3"/>
    </i>
    <i>
      <x v="4"/>
    </i>
    <i t="grand">
      <x/>
    </i>
  </rowItems>
  <colItems count="1">
    <i/>
  </colItems>
  <dataFields count="1">
    <dataField name="Sum of Worldwide_Gross_Cr" fld="9" baseField="0" baseItem="0"/>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8DFC35-A83D-4BC4-8A0D-36937FB58D5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8:G48" firstHeaderRow="1" firstDataRow="2" firstDataCol="1"/>
  <pivotFields count="19">
    <pivotField showAll="0"/>
    <pivotField numFmtId="14" showAll="0">
      <items count="34">
        <item x="21"/>
        <item x="0"/>
        <item x="19"/>
        <item x="5"/>
        <item x="8"/>
        <item x="29"/>
        <item x="9"/>
        <item x="18"/>
        <item x="31"/>
        <item x="11"/>
        <item x="20"/>
        <item x="28"/>
        <item x="25"/>
        <item x="3"/>
        <item x="22"/>
        <item x="30"/>
        <item x="24"/>
        <item x="7"/>
        <item x="1"/>
        <item x="2"/>
        <item x="12"/>
        <item x="13"/>
        <item x="10"/>
        <item x="23"/>
        <item x="16"/>
        <item x="32"/>
        <item x="27"/>
        <item x="4"/>
        <item x="6"/>
        <item x="14"/>
        <item x="17"/>
        <item x="15"/>
        <item x="26"/>
        <item t="default"/>
      </items>
    </pivotField>
    <pivotField axis="axisCol" showAll="0">
      <items count="6">
        <item x="2"/>
        <item x="3"/>
        <item x="4"/>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9">
        <item x="0"/>
        <item x="4"/>
        <item x="5"/>
        <item x="6"/>
        <item x="2"/>
        <item x="1"/>
        <item x="3"/>
        <item x="7"/>
        <item t="default"/>
      </items>
    </pivotField>
    <pivotField showAll="0" defaultSubtotal="0"/>
    <pivotField showAll="0" defaultSubtotal="0"/>
    <pivotField axis="axisRow" showAll="0" defaultSubtotal="0">
      <items count="12">
        <item x="0"/>
        <item x="1"/>
        <item x="2"/>
        <item x="3"/>
        <item x="4"/>
        <item x="5"/>
        <item x="6"/>
        <item x="7"/>
        <item x="8"/>
        <item x="9"/>
        <item x="10"/>
        <item x="11"/>
      </items>
    </pivotField>
  </pivotFields>
  <rowFields count="1">
    <field x="18"/>
  </rowFields>
  <rowItems count="9">
    <i>
      <x v="1"/>
    </i>
    <i>
      <x v="2"/>
    </i>
    <i>
      <x v="4"/>
    </i>
    <i>
      <x v="5"/>
    </i>
    <i>
      <x v="7"/>
    </i>
    <i>
      <x v="8"/>
    </i>
    <i>
      <x v="9"/>
    </i>
    <i>
      <x v="10"/>
    </i>
    <i t="grand">
      <x/>
    </i>
  </rowItems>
  <colFields count="1">
    <field x="2"/>
  </colFields>
  <colItems count="6">
    <i>
      <x/>
    </i>
    <i>
      <x v="1"/>
    </i>
    <i>
      <x v="2"/>
    </i>
    <i>
      <x v="3"/>
    </i>
    <i>
      <x v="4"/>
    </i>
    <i t="grand">
      <x/>
    </i>
  </colItems>
  <dataFields count="1">
    <dataField name="Sum of Worldwide_Gross_Cr" fld="9" baseField="0" baseItem="0"/>
  </dataFields>
  <chartFormats count="6">
    <chartFormat chart="2" format="5" series="1">
      <pivotArea type="data" outline="0" fieldPosition="0">
        <references count="2">
          <reference field="4294967294" count="1" selected="0">
            <x v="0"/>
          </reference>
          <reference field="2" count="1" selected="0">
            <x v="0"/>
          </reference>
        </references>
      </pivotArea>
    </chartFormat>
    <chartFormat chart="2" format="6" series="1">
      <pivotArea type="data" outline="0" fieldPosition="0">
        <references count="2">
          <reference field="4294967294" count="1" selected="0">
            <x v="0"/>
          </reference>
          <reference field="2" count="1" selected="0">
            <x v="1"/>
          </reference>
        </references>
      </pivotArea>
    </chartFormat>
    <chartFormat chart="2" format="7" series="1">
      <pivotArea type="data" outline="0" fieldPosition="0">
        <references count="2">
          <reference field="4294967294" count="1" selected="0">
            <x v="0"/>
          </reference>
          <reference field="2" count="1" selected="0">
            <x v="2"/>
          </reference>
        </references>
      </pivotArea>
    </chartFormat>
    <chartFormat chart="2" format="8" series="1">
      <pivotArea type="data" outline="0" fieldPosition="0">
        <references count="2">
          <reference field="4294967294" count="1" selected="0">
            <x v="0"/>
          </reference>
          <reference field="2" count="1" selected="0">
            <x v="3"/>
          </reference>
        </references>
      </pivotArea>
    </chartFormat>
    <chartFormat chart="2" format="9" series="1">
      <pivotArea type="data" outline="0" fieldPosition="0">
        <references count="2">
          <reference field="4294967294" count="1" selected="0">
            <x v="0"/>
          </reference>
          <reference field="2" count="1" selected="0">
            <x v="4"/>
          </reference>
        </references>
      </pivotArea>
    </chartFormat>
    <chartFormat chart="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FC5251-883C-470E-B38E-4EDAB3C5FBF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2:B28" firstHeaderRow="1" firstDataRow="1" firstDataCol="1"/>
  <pivotFields count="19">
    <pivotField showAll="0"/>
    <pivotField numFmtId="14" showAll="0">
      <items count="34">
        <item x="21"/>
        <item x="0"/>
        <item x="19"/>
        <item x="5"/>
        <item x="8"/>
        <item x="29"/>
        <item x="9"/>
        <item x="18"/>
        <item x="31"/>
        <item x="11"/>
        <item x="20"/>
        <item x="28"/>
        <item x="25"/>
        <item x="3"/>
        <item x="22"/>
        <item x="30"/>
        <item x="24"/>
        <item x="7"/>
        <item x="1"/>
        <item x="2"/>
        <item x="12"/>
        <item x="13"/>
        <item x="10"/>
        <item x="23"/>
        <item x="16"/>
        <item x="32"/>
        <item x="27"/>
        <item x="4"/>
        <item x="6"/>
        <item x="14"/>
        <item x="17"/>
        <item x="15"/>
        <item x="26"/>
        <item t="default"/>
      </items>
    </pivotField>
    <pivotField axis="axisRow" showAll="0">
      <items count="6">
        <item x="2"/>
        <item x="3"/>
        <item x="4"/>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9">
        <item x="0"/>
        <item x="4"/>
        <item x="5"/>
        <item x="6"/>
        <item x="2"/>
        <item x="1"/>
        <item x="3"/>
        <item x="7"/>
        <item t="default"/>
      </items>
    </pivotField>
    <pivotField showAll="0" defaultSubtotal="0"/>
    <pivotField showAll="0" defaultSubtotal="0"/>
    <pivotField showAll="0" defaultSubtotal="0">
      <items count="12">
        <item x="0"/>
        <item x="1"/>
        <item x="2"/>
        <item x="3"/>
        <item x="4"/>
        <item x="5"/>
        <item x="6"/>
        <item x="7"/>
        <item x="8"/>
        <item x="9"/>
        <item x="10"/>
        <item x="11"/>
      </items>
    </pivotField>
  </pivotFields>
  <rowFields count="1">
    <field x="2"/>
  </rowFields>
  <rowItems count="6">
    <i>
      <x/>
    </i>
    <i>
      <x v="1"/>
    </i>
    <i>
      <x v="2"/>
    </i>
    <i>
      <x v="3"/>
    </i>
    <i>
      <x v="4"/>
    </i>
    <i t="grand">
      <x/>
    </i>
  </rowItems>
  <colItems count="1">
    <i/>
  </colItems>
  <dataFields count="1">
    <dataField name="Average of ROI" fld="14" subtotal="average" baseField="2" baseItem="0"/>
  </dataFields>
  <formats count="1">
    <format dxfId="34">
      <pivotArea collapsedLevelsAreSubtotals="1" fieldPosition="0">
        <references count="1">
          <reference field="2" count="0"/>
        </references>
      </pivotArea>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150D3B1-D423-462A-97F9-9B2912D87D3E}"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12" firstHeaderRow="1" firstDataRow="1" firstDataCol="1"/>
  <pivotFields count="19">
    <pivotField showAll="0"/>
    <pivotField numFmtId="14"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measureFilter="1" sortType="ascending">
      <items count="40">
        <item x="8"/>
        <item x="18"/>
        <item x="5"/>
        <item x="34"/>
        <item x="31"/>
        <item x="23"/>
        <item x="33"/>
        <item x="20"/>
        <item x="14"/>
        <item x="19"/>
        <item x="2"/>
        <item x="11"/>
        <item x="26"/>
        <item x="32"/>
        <item x="28"/>
        <item x="12"/>
        <item x="29"/>
        <item x="0"/>
        <item x="36"/>
        <item x="37"/>
        <item x="13"/>
        <item x="3"/>
        <item x="1"/>
        <item x="15"/>
        <item x="9"/>
        <item x="21"/>
        <item x="16"/>
        <item x="7"/>
        <item x="35"/>
        <item x="27"/>
        <item x="6"/>
        <item x="38"/>
        <item x="25"/>
        <item x="22"/>
        <item x="30"/>
        <item x="17"/>
        <item x="10"/>
        <item x="24"/>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4"/>
  </rowFields>
  <rowItems count="11">
    <i>
      <x v="5"/>
    </i>
    <i>
      <x v="15"/>
    </i>
    <i>
      <x v="10"/>
    </i>
    <i>
      <x v="30"/>
    </i>
    <i>
      <x v="21"/>
    </i>
    <i>
      <x v="17"/>
    </i>
    <i>
      <x v="38"/>
    </i>
    <i>
      <x/>
    </i>
    <i>
      <x v="8"/>
    </i>
    <i>
      <x v="27"/>
    </i>
    <i t="grand">
      <x/>
    </i>
  </rowItems>
  <colItems count="1">
    <i/>
  </colItems>
  <dataFields count="1">
    <dataField name="Sum of Worldwide_Gross_Cr" fld="8"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DBC5BA0-C3A7-4459-948B-ADF0B531D656}"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0:C102" firstHeaderRow="0" firstDataRow="1" firstDataCol="1"/>
  <pivotFields count="19">
    <pivotField showAll="0"/>
    <pivotField numFmtId="14"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measureFilter="1">
      <items count="40">
        <item x="8"/>
        <item x="18"/>
        <item x="5"/>
        <item x="34"/>
        <item x="31"/>
        <item x="23"/>
        <item x="33"/>
        <item x="20"/>
        <item x="14"/>
        <item x="19"/>
        <item x="2"/>
        <item x="11"/>
        <item x="26"/>
        <item x="32"/>
        <item x="28"/>
        <item x="12"/>
        <item x="29"/>
        <item x="0"/>
        <item x="36"/>
        <item x="37"/>
        <item x="13"/>
        <item x="3"/>
        <item x="1"/>
        <item x="15"/>
        <item x="9"/>
        <item x="21"/>
        <item x="16"/>
        <item x="7"/>
        <item x="35"/>
        <item x="27"/>
        <item x="6"/>
        <item x="38"/>
        <item x="25"/>
        <item x="22"/>
        <item x="30"/>
        <item x="17"/>
        <item x="10"/>
        <item x="24"/>
        <item x="4"/>
        <item t="default"/>
      </items>
    </pivotField>
    <pivotField dataField="1" showAll="0"/>
    <pivotField showAll="0"/>
    <pivotField showAll="0"/>
    <pivotField showAll="0"/>
  </pivotFields>
  <rowFields count="1">
    <field x="14"/>
  </rowFields>
  <rowItems count="22">
    <i>
      <x/>
    </i>
    <i>
      <x v="1"/>
    </i>
    <i>
      <x v="2"/>
    </i>
    <i>
      <x v="6"/>
    </i>
    <i>
      <x v="7"/>
    </i>
    <i>
      <x v="9"/>
    </i>
    <i>
      <x v="10"/>
    </i>
    <i>
      <x v="11"/>
    </i>
    <i>
      <x v="13"/>
    </i>
    <i>
      <x v="14"/>
    </i>
    <i>
      <x v="16"/>
    </i>
    <i>
      <x v="17"/>
    </i>
    <i>
      <x v="20"/>
    </i>
    <i>
      <x v="21"/>
    </i>
    <i>
      <x v="23"/>
    </i>
    <i>
      <x v="25"/>
    </i>
    <i>
      <x v="26"/>
    </i>
    <i>
      <x v="27"/>
    </i>
    <i>
      <x v="34"/>
    </i>
    <i>
      <x v="36"/>
    </i>
    <i>
      <x v="38"/>
    </i>
    <i t="grand">
      <x/>
    </i>
  </rowItems>
  <colFields count="1">
    <field x="-2"/>
  </colFields>
  <colItems count="2">
    <i>
      <x/>
    </i>
    <i i="1">
      <x v="1"/>
    </i>
  </colItems>
  <dataFields count="2">
    <dataField name="Actor Remuneration" fld="15" baseField="14" baseItem="0"/>
    <dataField name="World wide Gross" fld="8" baseField="14" baseItem="0"/>
  </dataFields>
  <pivotTableStyleInfo name="PivotStyleLight16" showRowHeaders="1" showColHeaders="1" showRowStripes="0" showColStripes="0" showLastColumn="1"/>
  <filters count="1">
    <filter fld="14" type="valueNotEqual" evalOrder="-1" id="1" iMeasureFld="0">
      <autoFilter ref="A1">
        <filterColumn colId="0">
          <customFilters>
            <customFilter operator="notEqual"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AEB3B10-DE85-4F5B-9C47-1E24AA87BCD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40:B153" firstHeaderRow="1" firstDataRow="1" firstDataCol="1"/>
  <pivotFields count="19">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40">
        <item h="1" x="8"/>
        <item x="18"/>
        <item h="1" x="5"/>
        <item h="1" x="34"/>
        <item h="1" x="31"/>
        <item h="1" x="23"/>
        <item x="33"/>
        <item x="20"/>
        <item x="14"/>
        <item h="1" x="19"/>
        <item x="2"/>
        <item h="1" x="11"/>
        <item x="26"/>
        <item h="1" x="32"/>
        <item h="1" x="28"/>
        <item h="1" x="12"/>
        <item h="1" x="29"/>
        <item h="1" x="0"/>
        <item h="1" x="36"/>
        <item x="37"/>
        <item h="1" x="13"/>
        <item x="3"/>
        <item x="1"/>
        <item x="15"/>
        <item x="9"/>
        <item h="1" x="21"/>
        <item x="16"/>
        <item h="1" x="7"/>
        <item h="1" x="35"/>
        <item h="1" x="27"/>
        <item h="1" x="6"/>
        <item h="1" x="38"/>
        <item h="1" x="25"/>
        <item h="1" x="22"/>
        <item h="1" x="30"/>
        <item h="1" x="17"/>
        <item h="1" x="10"/>
        <item h="1" x="24"/>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14"/>
  </rowFields>
  <rowItems count="13">
    <i>
      <x v="12"/>
    </i>
    <i>
      <x v="26"/>
    </i>
    <i>
      <x v="6"/>
    </i>
    <i>
      <x v="7"/>
    </i>
    <i>
      <x v="19"/>
    </i>
    <i>
      <x v="22"/>
    </i>
    <i>
      <x v="1"/>
    </i>
    <i>
      <x v="23"/>
    </i>
    <i>
      <x v="21"/>
    </i>
    <i>
      <x v="24"/>
    </i>
    <i>
      <x v="8"/>
    </i>
    <i>
      <x v="10"/>
    </i>
    <i t="grand">
      <x/>
    </i>
  </rowItems>
  <colItems count="1">
    <i/>
  </colItems>
  <dataFields count="1">
    <dataField name="Average of Hit_Flag" fld="18" subtotal="average" baseField="14" baseItem="0" numFmtId="10"/>
  </dataFields>
  <formats count="2">
    <format dxfId="33">
      <pivotArea collapsedLevelsAreSubtotals="1" fieldPosition="0">
        <references count="1">
          <reference field="14" count="1">
            <x v="0"/>
          </reference>
        </references>
      </pivotArea>
    </format>
    <format dxfId="32">
      <pivotArea outline="0" fieldPosition="0">
        <references count="1">
          <reference field="4294967294" count="1">
            <x v="0"/>
          </reference>
        </references>
      </pivotArea>
    </format>
  </formats>
  <chartFormats count="1">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2E956CB-EC8D-437E-BEAB-4C1C889BD08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00:B210" firstHeaderRow="1" firstDataRow="1" firstDataCol="1"/>
  <pivotFields count="19">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40">
        <item x="8"/>
        <item x="18"/>
        <item x="5"/>
        <item x="34"/>
        <item x="31"/>
        <item x="23"/>
        <item x="33"/>
        <item x="20"/>
        <item x="14"/>
        <item x="19"/>
        <item x="2"/>
        <item x="11"/>
        <item x="26"/>
        <item x="32"/>
        <item x="28"/>
        <item x="12"/>
        <item x="29"/>
        <item x="0"/>
        <item x="36"/>
        <item x="37"/>
        <item x="13"/>
        <item x="3"/>
        <item x="1"/>
        <item x="15"/>
        <item x="9"/>
        <item x="21"/>
        <item x="16"/>
        <item x="7"/>
        <item x="35"/>
        <item x="27"/>
        <item x="6"/>
        <item x="38"/>
        <item x="25"/>
        <item x="22"/>
        <item x="30"/>
        <item x="17"/>
        <item x="10"/>
        <item x="24"/>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4"/>
  </rowFields>
  <rowItems count="10">
    <i>
      <x v="27"/>
    </i>
    <i>
      <x v="6"/>
    </i>
    <i>
      <x v="28"/>
    </i>
    <i>
      <x v="17"/>
    </i>
    <i>
      <x v="34"/>
    </i>
    <i>
      <x v="38"/>
    </i>
    <i>
      <x v="36"/>
    </i>
    <i>
      <x v="14"/>
    </i>
    <i>
      <x v="7"/>
    </i>
    <i t="grand">
      <x/>
    </i>
  </rowItems>
  <colItems count="1">
    <i/>
  </colItems>
  <dataFields count="1">
    <dataField name="Count of Movie_Title"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2B93F53-0FC3-4ABB-8F54-D92F78A54546}" name="PivotTable2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29:F38" firstHeaderRow="1" firstDataRow="2" firstDataCol="1"/>
  <pivotFields count="19">
    <pivotField showAll="0"/>
    <pivotField numFmtId="14" showAll="0">
      <items count="34">
        <item x="21"/>
        <item x="0"/>
        <item x="19"/>
        <item x="5"/>
        <item x="8"/>
        <item x="29"/>
        <item x="9"/>
        <item x="18"/>
        <item x="31"/>
        <item x="11"/>
        <item x="20"/>
        <item x="28"/>
        <item x="25"/>
        <item x="3"/>
        <item x="22"/>
        <item x="30"/>
        <item x="24"/>
        <item x="7"/>
        <item x="1"/>
        <item x="2"/>
        <item x="12"/>
        <item x="13"/>
        <item x="10"/>
        <item x="23"/>
        <item x="16"/>
        <item x="32"/>
        <item x="27"/>
        <item x="4"/>
        <item x="6"/>
        <item x="14"/>
        <item x="17"/>
        <item x="15"/>
        <item x="26"/>
        <item t="default"/>
      </items>
    </pivotField>
    <pivotField showAll="0"/>
    <pivotField axis="axisCol" showAll="0">
      <items count="6">
        <item x="2"/>
        <item x="1"/>
        <item x="4"/>
        <item x="3"/>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defaultSubtotal="0"/>
    <pivotField showAll="0" defaultSubtotal="0"/>
    <pivotField axis="axisRow" showAll="0" defaultSubtotal="0">
      <items count="12">
        <item x="0"/>
        <item x="1"/>
        <item x="2"/>
        <item x="3"/>
        <item x="4"/>
        <item x="5"/>
        <item x="6"/>
        <item x="7"/>
        <item x="8"/>
        <item x="9"/>
        <item x="10"/>
        <item x="11"/>
      </items>
    </pivotField>
  </pivotFields>
  <rowFields count="1">
    <field x="18"/>
  </rowFields>
  <rowItems count="8">
    <i>
      <x v="1"/>
    </i>
    <i>
      <x v="2"/>
    </i>
    <i>
      <x v="4"/>
    </i>
    <i>
      <x v="5"/>
    </i>
    <i>
      <x v="7"/>
    </i>
    <i>
      <x v="8"/>
    </i>
    <i>
      <x v="9"/>
    </i>
    <i>
      <x v="10"/>
    </i>
  </rowItems>
  <colFields count="1">
    <field x="3"/>
  </colFields>
  <colItems count="5">
    <i>
      <x/>
    </i>
    <i>
      <x v="1"/>
    </i>
    <i>
      <x v="2"/>
    </i>
    <i>
      <x v="3"/>
    </i>
    <i>
      <x v="4"/>
    </i>
  </colItems>
  <dataFields count="1">
    <dataField name="Sum of Worldwide_Gross_Cr" fld="9" baseField="0" baseItem="0"/>
  </dataFields>
  <chartFormats count="5">
    <chartFormat chart="1" format="5" series="1">
      <pivotArea type="data" outline="0" fieldPosition="0">
        <references count="2">
          <reference field="4294967294" count="1" selected="0">
            <x v="0"/>
          </reference>
          <reference field="3" count="1" selected="0">
            <x v="0"/>
          </reference>
        </references>
      </pivotArea>
    </chartFormat>
    <chartFormat chart="1" format="6" series="1">
      <pivotArea type="data" outline="0" fieldPosition="0">
        <references count="2">
          <reference field="4294967294" count="1" selected="0">
            <x v="0"/>
          </reference>
          <reference field="3" count="1" selected="0">
            <x v="1"/>
          </reference>
        </references>
      </pivotArea>
    </chartFormat>
    <chartFormat chart="1" format="7" series="1">
      <pivotArea type="data" outline="0" fieldPosition="0">
        <references count="2">
          <reference field="4294967294" count="1" selected="0">
            <x v="0"/>
          </reference>
          <reference field="3" count="1" selected="0">
            <x v="2"/>
          </reference>
        </references>
      </pivotArea>
    </chartFormat>
    <chartFormat chart="1" format="8" series="1">
      <pivotArea type="data" outline="0" fieldPosition="0">
        <references count="2">
          <reference field="4294967294" count="1" selected="0">
            <x v="0"/>
          </reference>
          <reference field="3" count="1" selected="0">
            <x v="3"/>
          </reference>
        </references>
      </pivotArea>
    </chartFormat>
    <chartFormat chart="1" format="9"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44BFC9B-119D-4D99-8B14-2E5772EF8EEC}"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2" firstHeaderRow="1" firstDataRow="1" firstDataCol="1"/>
  <pivotFields count="19">
    <pivotField showAll="0"/>
    <pivotField numFmtId="14" showAll="0">
      <items count="34">
        <item x="21"/>
        <item x="0"/>
        <item x="19"/>
        <item x="5"/>
        <item x="8"/>
        <item x="29"/>
        <item x="9"/>
        <item x="18"/>
        <item x="31"/>
        <item x="11"/>
        <item x="20"/>
        <item x="28"/>
        <item x="25"/>
        <item x="3"/>
        <item x="22"/>
        <item x="30"/>
        <item x="24"/>
        <item x="7"/>
        <item x="1"/>
        <item x="2"/>
        <item x="12"/>
        <item x="13"/>
        <item x="10"/>
        <item x="23"/>
        <item x="16"/>
        <item x="32"/>
        <item x="27"/>
        <item x="4"/>
        <item x="6"/>
        <item x="14"/>
        <item x="17"/>
        <item x="15"/>
        <item x="26"/>
        <item t="default"/>
      </items>
    </pivotField>
    <pivotField showAll="0"/>
    <pivotField showAll="0"/>
    <pivotField showAll="0"/>
    <pivotField showAll="0"/>
    <pivotField axis="axisRow" showAll="0">
      <items count="9">
        <item x="0"/>
        <item x="1"/>
        <item x="7"/>
        <item x="6"/>
        <item x="2"/>
        <item x="4"/>
        <item x="5"/>
        <item x="3"/>
        <item t="default"/>
      </items>
    </pivotField>
    <pivotField showAll="0"/>
    <pivotField showAll="0"/>
    <pivotField dataField="1" showAll="0"/>
    <pivotField showAll="0"/>
    <pivotField showAll="0"/>
    <pivotField showAll="0"/>
    <pivotField showAll="0"/>
    <pivotField showAll="0"/>
    <pivotField showAll="0"/>
    <pivotField showAll="0" defaultSubtotal="0"/>
    <pivotField showAll="0" defaultSubtotal="0"/>
    <pivotField showAll="0" defaultSubtotal="0">
      <items count="12">
        <item x="0"/>
        <item x="1"/>
        <item x="2"/>
        <item x="3"/>
        <item x="4"/>
        <item x="5"/>
        <item x="6"/>
        <item x="7"/>
        <item x="8"/>
        <item x="9"/>
        <item x="10"/>
        <item x="11"/>
      </items>
    </pivotField>
  </pivotFields>
  <rowFields count="1">
    <field x="6"/>
  </rowFields>
  <rowItems count="9">
    <i>
      <x/>
    </i>
    <i>
      <x v="1"/>
    </i>
    <i>
      <x v="2"/>
    </i>
    <i>
      <x v="3"/>
    </i>
    <i>
      <x v="4"/>
    </i>
    <i>
      <x v="5"/>
    </i>
    <i>
      <x v="6"/>
    </i>
    <i>
      <x v="7"/>
    </i>
    <i t="grand">
      <x/>
    </i>
  </rowItems>
  <colItems count="1">
    <i/>
  </colItems>
  <dataFields count="1">
    <dataField name="Sum of Worldwide_Gross_Cr" fld="9" baseField="0" baseItem="0"/>
  </dataFields>
  <chartFormats count="9">
    <chartFormat chart="1" format="9" series="1">
      <pivotArea type="data" outline="0" fieldPosition="0">
        <references count="1">
          <reference field="4294967294" count="1" selected="0">
            <x v="0"/>
          </reference>
        </references>
      </pivotArea>
    </chartFormat>
    <chartFormat chart="1" format="10">
      <pivotArea type="data" outline="0" fieldPosition="0">
        <references count="2">
          <reference field="4294967294" count="1" selected="0">
            <x v="0"/>
          </reference>
          <reference field="6" count="1" selected="0">
            <x v="0"/>
          </reference>
        </references>
      </pivotArea>
    </chartFormat>
    <chartFormat chart="1" format="11">
      <pivotArea type="data" outline="0" fieldPosition="0">
        <references count="2">
          <reference field="4294967294" count="1" selected="0">
            <x v="0"/>
          </reference>
          <reference field="6" count="1" selected="0">
            <x v="1"/>
          </reference>
        </references>
      </pivotArea>
    </chartFormat>
    <chartFormat chart="1" format="12">
      <pivotArea type="data" outline="0" fieldPosition="0">
        <references count="2">
          <reference field="4294967294" count="1" selected="0">
            <x v="0"/>
          </reference>
          <reference field="6" count="1" selected="0">
            <x v="2"/>
          </reference>
        </references>
      </pivotArea>
    </chartFormat>
    <chartFormat chart="1" format="13">
      <pivotArea type="data" outline="0" fieldPosition="0">
        <references count="2">
          <reference field="4294967294" count="1" selected="0">
            <x v="0"/>
          </reference>
          <reference field="6" count="1" selected="0">
            <x v="3"/>
          </reference>
        </references>
      </pivotArea>
    </chartFormat>
    <chartFormat chart="1" format="14">
      <pivotArea type="data" outline="0" fieldPosition="0">
        <references count="2">
          <reference field="4294967294" count="1" selected="0">
            <x v="0"/>
          </reference>
          <reference field="6" count="1" selected="0">
            <x v="4"/>
          </reference>
        </references>
      </pivotArea>
    </chartFormat>
    <chartFormat chart="1" format="15">
      <pivotArea type="data" outline="0" fieldPosition="0">
        <references count="2">
          <reference field="4294967294" count="1" selected="0">
            <x v="0"/>
          </reference>
          <reference field="6" count="1" selected="0">
            <x v="5"/>
          </reference>
        </references>
      </pivotArea>
    </chartFormat>
    <chartFormat chart="1" format="16">
      <pivotArea type="data" outline="0" fieldPosition="0">
        <references count="2">
          <reference field="4294967294" count="1" selected="0">
            <x v="0"/>
          </reference>
          <reference field="6" count="1" selected="0">
            <x v="6"/>
          </reference>
        </references>
      </pivotArea>
    </chartFormat>
    <chartFormat chart="1" format="17">
      <pivotArea type="data" outline="0" fieldPosition="0">
        <references count="2">
          <reference field="4294967294" count="1" selected="0">
            <x v="0"/>
          </reference>
          <reference field="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AFAA74C-600A-4A92-AC15-932843C77A93}"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9">
    <pivotField dataField="1" showAll="0"/>
    <pivotField numFmtId="14" showAll="0">
      <items count="34">
        <item x="21"/>
        <item x="0"/>
        <item x="19"/>
        <item x="5"/>
        <item x="8"/>
        <item x="29"/>
        <item x="9"/>
        <item x="18"/>
        <item x="31"/>
        <item x="11"/>
        <item x="20"/>
        <item x="28"/>
        <item x="25"/>
        <item x="3"/>
        <item x="22"/>
        <item x="30"/>
        <item x="24"/>
        <item x="7"/>
        <item x="1"/>
        <item x="2"/>
        <item x="12"/>
        <item x="13"/>
        <item x="10"/>
        <item x="23"/>
        <item x="16"/>
        <item x="32"/>
        <item x="27"/>
        <item x="4"/>
        <item x="6"/>
        <item x="14"/>
        <item x="17"/>
        <item x="15"/>
        <item x="26"/>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3"/>
        <item x="1"/>
        <item x="2"/>
        <item x="4"/>
        <item t="default"/>
      </items>
    </pivotField>
    <pivotField showAll="0"/>
    <pivotField showAll="0"/>
    <pivotField showAll="0" defaultSubtotal="0"/>
    <pivotField showAll="0" defaultSubtotal="0"/>
    <pivotField showAll="0" defaultSubtotal="0">
      <items count="12">
        <item x="0"/>
        <item x="1"/>
        <item x="2"/>
        <item x="3"/>
        <item x="4"/>
        <item x="5"/>
        <item x="6"/>
        <item x="7"/>
        <item x="8"/>
        <item x="9"/>
        <item x="10"/>
        <item x="11"/>
      </items>
    </pivotField>
  </pivotFields>
  <rowFields count="1">
    <field x="13"/>
  </rowFields>
  <rowItems count="6">
    <i>
      <x/>
    </i>
    <i>
      <x v="1"/>
    </i>
    <i>
      <x v="2"/>
    </i>
    <i>
      <x v="3"/>
    </i>
    <i>
      <x v="4"/>
    </i>
    <i t="grand">
      <x/>
    </i>
  </rowItems>
  <colItems count="1">
    <i/>
  </colItems>
  <dataFields count="1">
    <dataField name="Count of Movie_Title" fld="0" subtotal="count" baseField="0" baseItem="0"/>
  </dataFields>
  <chartFormats count="6">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13" count="1" selected="0">
            <x v="0"/>
          </reference>
        </references>
      </pivotArea>
    </chartFormat>
    <chartFormat chart="1" format="8">
      <pivotArea type="data" outline="0" fieldPosition="0">
        <references count="2">
          <reference field="4294967294" count="1" selected="0">
            <x v="0"/>
          </reference>
          <reference field="13" count="1" selected="0">
            <x v="1"/>
          </reference>
        </references>
      </pivotArea>
    </chartFormat>
    <chartFormat chart="1" format="9">
      <pivotArea type="data" outline="0" fieldPosition="0">
        <references count="2">
          <reference field="4294967294" count="1" selected="0">
            <x v="0"/>
          </reference>
          <reference field="13" count="1" selected="0">
            <x v="2"/>
          </reference>
        </references>
      </pivotArea>
    </chartFormat>
    <chartFormat chart="1" format="10">
      <pivotArea type="data" outline="0" fieldPosition="0">
        <references count="2">
          <reference field="4294967294" count="1" selected="0">
            <x v="0"/>
          </reference>
          <reference field="13" count="1" selected="0">
            <x v="3"/>
          </reference>
        </references>
      </pivotArea>
    </chartFormat>
    <chartFormat chart="1" format="11">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3D08491-563F-4427-A3DC-CF7061094F48}"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B41" firstHeaderRow="1" firstDataRow="1" firstDataCol="1"/>
  <pivotFields count="19">
    <pivotField dataField="1" showAll="0"/>
    <pivotField numFmtId="14" showAll="0">
      <items count="34">
        <item x="21"/>
        <item x="0"/>
        <item x="19"/>
        <item x="5"/>
        <item x="8"/>
        <item x="29"/>
        <item x="9"/>
        <item x="18"/>
        <item x="31"/>
        <item x="11"/>
        <item x="20"/>
        <item x="28"/>
        <item x="25"/>
        <item x="3"/>
        <item x="22"/>
        <item x="30"/>
        <item x="24"/>
        <item x="7"/>
        <item x="1"/>
        <item x="2"/>
        <item x="12"/>
        <item x="13"/>
        <item x="10"/>
        <item x="23"/>
        <item x="16"/>
        <item x="32"/>
        <item x="27"/>
        <item x="4"/>
        <item x="6"/>
        <item x="14"/>
        <item x="17"/>
        <item x="15"/>
        <item x="26"/>
        <item t="default"/>
      </items>
    </pivotField>
    <pivotField showAll="0"/>
    <pivotField showAll="0"/>
    <pivotField showAll="0"/>
    <pivotField showAll="0"/>
    <pivotField showAll="0"/>
    <pivotField showAll="0"/>
    <pivotField showAll="0"/>
    <pivotField showAll="0"/>
    <pivotField showAll="0"/>
    <pivotField showAll="0"/>
    <pivotField axis="axisRow" showAll="0">
      <items count="16">
        <item x="14"/>
        <item x="9"/>
        <item x="13"/>
        <item x="8"/>
        <item x="11"/>
        <item x="7"/>
        <item x="10"/>
        <item x="6"/>
        <item x="4"/>
        <item x="3"/>
        <item x="0"/>
        <item x="12"/>
        <item x="2"/>
        <item x="1"/>
        <item x="5"/>
        <item t="default"/>
      </items>
    </pivotField>
    <pivotField showAll="0"/>
    <pivotField showAll="0"/>
    <pivotField showAll="0"/>
    <pivotField showAll="0" defaultSubtotal="0"/>
    <pivotField showAll="0" defaultSubtotal="0"/>
    <pivotField showAll="0" defaultSubtotal="0">
      <items count="12">
        <item x="0"/>
        <item x="1"/>
        <item x="2"/>
        <item x="3"/>
        <item x="4"/>
        <item x="5"/>
        <item x="6"/>
        <item x="7"/>
        <item x="8"/>
        <item x="9"/>
        <item x="10"/>
        <item x="11"/>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Movie_Titl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A659CC4E-ADD8-4151-BB71-07ED1B013E96}" autoFormatId="16" applyNumberFormats="0" applyBorderFormats="0" applyFontFormats="0" applyPatternFormats="0" applyAlignmentFormats="0" applyWidthHeightFormats="0">
  <queryTableRefresh nextId="17" unboundColumnsRight="1">
    <queryTableFields count="16">
      <queryTableField id="1" name="Movie_Title" tableColumnId="1"/>
      <queryTableField id="2" name="Date" tableColumnId="2"/>
      <queryTableField id="3" name="Industry" tableColumnId="3"/>
      <queryTableField id="4" name="Language" tableColumnId="4"/>
      <queryTableField id="5" name="Director" tableColumnId="5"/>
      <queryTableField id="6" name="Lead_Actors" tableColumnId="6"/>
      <queryTableField id="7" name="Genre" tableColumnId="7"/>
      <queryTableField id="8" name="Budget_Cr" tableColumnId="8"/>
      <queryTableField id="9" name="India_Net_Cr" tableColumnId="9"/>
      <queryTableField id="10" name="Worldwide_Gross_Cr" tableColumnId="10"/>
      <queryTableField id="11" name="Overseas_Cr" tableColumnId="11"/>
      <queryTableField id="12" name="Verdict" tableColumnId="12"/>
      <queryTableField id="13" name="Days_Run" tableColumnId="13"/>
      <queryTableField id="14" name="OTT_Platform" tableColumnId="14"/>
      <queryTableField id="15" name="ROI" tableColumnId="15"/>
      <queryTableField id="16" dataBound="0"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E96DCBD0-85DB-4997-9BEA-6626CE960144}" autoFormatId="16" applyNumberFormats="0" applyBorderFormats="0" applyFontFormats="0" applyPatternFormats="0" applyAlignmentFormats="0" applyWidthHeightFormats="0">
  <queryTableRefresh nextId="16">
    <queryTableFields count="15">
      <queryTableField id="1" name="Movie_Title" tableColumnId="1"/>
      <queryTableField id="2" name="Date" tableColumnId="2"/>
      <queryTableField id="3" name="Industry" tableColumnId="3"/>
      <queryTableField id="4" name="Language" tableColumnId="4"/>
      <queryTableField id="5" name="Director" tableColumnId="5"/>
      <queryTableField id="6" name="Genre" tableColumnId="6"/>
      <queryTableField id="7" name="Budget_Cr" tableColumnId="7"/>
      <queryTableField id="8" name="India_Net_Cr" tableColumnId="8"/>
      <queryTableField id="9" name="Worldwide_Gross_Cr" tableColumnId="9"/>
      <queryTableField id="10" name="Overseas_Cr" tableColumnId="10"/>
      <queryTableField id="11" name="Verdict" tableColumnId="11"/>
      <queryTableField id="12" name="Days_Run" tableColumnId="12"/>
      <queryTableField id="13" name="OTT_Platform" tableColumnId="13"/>
      <queryTableField id="14" name="ROI" tableColumnId="14"/>
      <queryTableField id="15" name="Actor_Name"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84B283CB-1ADE-4DE5-9E7A-12D641970F38}" autoFormatId="16" applyNumberFormats="0" applyBorderFormats="0" applyFontFormats="0" applyPatternFormats="0" applyAlignmentFormats="0" applyWidthHeightFormats="0">
  <queryTableRefresh nextId="6">
    <queryTableFields count="5">
      <queryTableField id="1" name="Actor_Name" tableColumnId="1"/>
      <queryTableField id="2" name="Movie_Title" tableColumnId="2"/>
      <queryTableField id="3" name="Remuneration" tableColumnId="3"/>
      <queryTableField id="4" name="Year" tableColumnId="4"/>
      <queryTableField id="5" name="Industry"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C6F36188-BA21-4E22-9CA0-EEB3C47FA4C5}" autoFormatId="16" applyNumberFormats="0" applyBorderFormats="0" applyFontFormats="0" applyPatternFormats="0" applyAlignmentFormats="0" applyWidthHeightFormats="0">
  <queryTableRefresh nextId="6">
    <queryTableFields count="5">
      <queryTableField id="1" name="Year" tableColumnId="1"/>
      <queryTableField id="2" name="Industry" tableColumnId="2"/>
      <queryTableField id="3" name="Total_Budget" tableColumnId="3"/>
      <queryTableField id="4" name="Total_Collection" tableColumnId="4"/>
      <queryTableField id="5" name="Num_Releases"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379FD4B9-4C15-4A8B-B616-210A0980F86C}" autoFormatId="16" applyNumberFormats="0" applyBorderFormats="0" applyFontFormats="0" applyPatternFormats="0" applyAlignmentFormats="0" applyWidthHeightFormats="0">
  <queryTableRefresh nextId="23">
    <queryTableFields count="19">
      <queryTableField id="1" name="Movie_Title" tableColumnId="1"/>
      <queryTableField id="2" name="Date" tableColumnId="2"/>
      <queryTableField id="3" name="Industry" tableColumnId="3"/>
      <queryTableField id="4" name="Language" tableColumnId="4"/>
      <queryTableField id="5" name="Director" tableColumnId="5"/>
      <queryTableField id="6" name="Genre" tableColumnId="6"/>
      <queryTableField id="7" name="Budget_Cr" tableColumnId="7"/>
      <queryTableField id="8" name="India_Net_Cr" tableColumnId="8"/>
      <queryTableField id="9" name="Worldwide_Gross_Cr" tableColumnId="9"/>
      <queryTableField id="10" name="Overseas_Cr" tableColumnId="10"/>
      <queryTableField id="11" name="Verdict" tableColumnId="11"/>
      <queryTableField id="12" name="Days_Run" tableColumnId="12"/>
      <queryTableField id="13" name="OTT_Platform" tableColumnId="13"/>
      <queryTableField id="14" name="ROI" tableColumnId="14"/>
      <queryTableField id="15" name="Actor_Name" tableColumnId="15"/>
      <queryTableField id="16" name="Actor-Remuneration.Remuneration" tableColumnId="16"/>
      <queryTableField id="17" name="Actor-Remuneration.Year" tableColumnId="17"/>
      <queryTableField id="20" name="Efficiency" tableColumnId="20"/>
      <queryTableField id="22" name="Hit_Flag"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DAF9C84F-251E-43CD-BA5E-446CBF75F060}" sourceName="Industry">
  <pivotTables>
    <pivotTable tabId="11" name="PivotTable4"/>
    <pivotTable tabId="11" name="PivotTable1"/>
    <pivotTable tabId="11" name="PivotTable3"/>
  </pivotTables>
  <data>
    <tabular pivotCacheId="1433031316">
      <items count="5">
        <i x="2" s="1"/>
        <i x="3" s="1"/>
        <i x="4"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1D449285-5114-417F-A31D-B559BA5B7506}" sourceName="Years (Date)">
  <pivotTables>
    <pivotTable tabId="11" name="PivotTable4"/>
    <pivotTable tabId="11" name="PivotTable1"/>
    <pivotTable tabId="11" name="PivotTable3"/>
  </pivotTables>
  <data>
    <tabular pivotCacheId="1433031316">
      <items count="12">
        <i x="1" s="1"/>
        <i x="2" s="1"/>
        <i x="4" s="1"/>
        <i x="5" s="1"/>
        <i x="7" s="1"/>
        <i x="8" s="1"/>
        <i x="9" s="1"/>
        <i x="10" s="1"/>
        <i x="0" s="1" nd="1"/>
        <i x="11" s="1" nd="1"/>
        <i x="3" s="1" nd="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1" xr10:uid="{85747A61-039D-4E97-BD90-4DA2864E17DB}" sourceName="Industry">
  <pivotTables>
    <pivotTable tabId="13" name="PivotTable9"/>
    <pivotTable tabId="13" name="PivotTable10"/>
    <pivotTable tabId="13" name="PivotTable11"/>
  </pivotTables>
  <data>
    <tabular pivotCacheId="1433031316">
      <items count="5">
        <i x="2" s="1"/>
        <i x="3" s="1"/>
        <i x="4"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FA1B0A5-F475-4936-8C97-3F98A694088E}" sourceName="Year">
  <pivotTables>
    <pivotTable tabId="13" name="PivotTable9"/>
    <pivotTable tabId="13" name="PivotTable10"/>
    <pivotTable tabId="13" name="PivotTable11"/>
  </pivotTables>
  <data>
    <tabular pivotCacheId="1433031316">
      <items count="8">
        <i x="0" s="1"/>
        <i x="4" s="1"/>
        <i x="5" s="1"/>
        <i x="6" s="1"/>
        <i x="2" s="1"/>
        <i x="1" s="1"/>
        <i x="3" s="1"/>
        <i x="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7C6E3959-A14B-484A-8777-5F6B16980F6F}" sourceName="Genre">
  <pivotTables>
    <pivotTable tabId="11" name="PivotTable3"/>
    <pivotTable tabId="11" name="PivotTable1"/>
    <pivotTable tabId="11" name="PivotTable4"/>
  </pivotTables>
  <data>
    <tabular pivotCacheId="1433031316">
      <items count="8">
        <i x="0" s="1"/>
        <i x="1" s="1"/>
        <i x="7" s="1"/>
        <i x="6" s="1"/>
        <i x="2" s="1"/>
        <i x="4"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0FD30896-BCDE-4CA0-ACF3-C51AE9FB022C}" cache="Slicer_Industry" caption="Industry" style="SlicerStyleDark5" rowHeight="234950"/>
  <slicer name="Years (Date)" xr10:uid="{EBDA7AF3-68B8-4E45-A5BB-BC67462D2A6F}" cache="Slicer_Years__Date" caption="Years (Date)" style="SlicerStyleDark5" rowHeight="234950"/>
  <slicer name="Genre" xr10:uid="{762AECCA-057E-4C4D-A0D9-38E76831EA9F}" cache="Slicer_Genre" caption="Genre"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1" xr10:uid="{D34D3CFB-62A1-4997-98AB-9FB5E681C462}" cache="Slicer_Industry1" caption="Industry" style="SlicerStyleDark4" rowHeight="234950"/>
  <slicer name="Year" xr10:uid="{23B52178-0B45-4B7C-86A9-149B185C62C4}" cache="Slicer_Year" caption="Year" style="SlicerStyleDark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353B158-9179-4E88-810A-FEB45FD9114B}" name="movie" displayName="movie" ref="A1:P34" tableType="queryTable" totalsRowShown="0">
  <autoFilter ref="A1:P34" xr:uid="{6353B158-9179-4E88-810A-FEB45FD9114B}"/>
  <tableColumns count="16">
    <tableColumn id="1" xr3:uid="{40534DA1-D859-44BE-8B3E-848490112047}" uniqueName="1" name="Movie_Title" queryTableFieldId="1" dataDxfId="31"/>
    <tableColumn id="2" xr3:uid="{88FB26D8-6FF0-4440-94EE-38EC98B29615}" uniqueName="2" name="Date" queryTableFieldId="2" dataDxfId="30"/>
    <tableColumn id="3" xr3:uid="{32AED269-7388-49C4-80F0-84847A019699}" uniqueName="3" name="Industry" queryTableFieldId="3" dataDxfId="29"/>
    <tableColumn id="4" xr3:uid="{FD984FD2-5D96-49B3-83D1-41D9A18EA9F9}" uniqueName="4" name="Language" queryTableFieldId="4" dataDxfId="28"/>
    <tableColumn id="5" xr3:uid="{66919596-2223-4E1A-80A0-9C1E49CA258E}" uniqueName="5" name="Director" queryTableFieldId="5" dataDxfId="27"/>
    <tableColumn id="6" xr3:uid="{A16A7B91-1316-4F3C-B3ED-7D657EB5B89D}" uniqueName="6" name="Lead_Actors" queryTableFieldId="6" dataDxfId="26"/>
    <tableColumn id="7" xr3:uid="{E071D7D9-17B5-41C3-A201-C906A45304AB}" uniqueName="7" name="Genre" queryTableFieldId="7" dataDxfId="25"/>
    <tableColumn id="8" xr3:uid="{406A00ED-32C7-4301-8CB2-DA6FC1AE9EA8}" uniqueName="8" name="Budget_Cr" queryTableFieldId="8"/>
    <tableColumn id="9" xr3:uid="{A29A45A2-FD65-47CA-BA90-ECC2FF93EBC6}" uniqueName="9" name="India_Net_Cr" queryTableFieldId="9"/>
    <tableColumn id="10" xr3:uid="{E3FCF7CC-E294-497A-BD4E-B8E79BC6C97E}" uniqueName="10" name="Worldwide_Gross_Cr" queryTableFieldId="10"/>
    <tableColumn id="11" xr3:uid="{22F60558-8226-469A-BB8B-02809C69DAF1}" uniqueName="11" name="Overseas_Cr" queryTableFieldId="11"/>
    <tableColumn id="12" xr3:uid="{2903873B-EBDA-466E-AF90-A0A42CB3426E}" uniqueName="12" name="Verdict" queryTableFieldId="12" dataDxfId="24"/>
    <tableColumn id="13" xr3:uid="{A659A5F2-E717-4F46-941F-1791DF93DDD7}" uniqueName="13" name="Days_Run" queryTableFieldId="13"/>
    <tableColumn id="14" xr3:uid="{B8FD938B-934A-4C26-A305-0CF5BFB8AD93}" uniqueName="14" name="OTT_Platform" queryTableFieldId="14" dataDxfId="23"/>
    <tableColumn id="15" xr3:uid="{69A13853-BF30-476E-A206-AEAF889DCE7D}" uniqueName="15" name="ROI" queryTableFieldId="15"/>
    <tableColumn id="16" xr3:uid="{A63F2AD5-AF64-48DC-8983-51029DB93416}" uniqueName="16" name="Year" queryTableFieldId="16" dataDxfId="22">
      <calculatedColumnFormula>YEAR(movie[[#This Row],[Date]])</calculatedColumnFormula>
    </tableColumn>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7BD8C17-DF8A-4141-9CF4-DA562D26BD90}" name="movie_Bridge" displayName="movie_Bridge" ref="A1:O52" tableType="queryTable" totalsRowShown="0">
  <autoFilter ref="A1:O52" xr:uid="{27BD8C17-DF8A-4141-9CF4-DA562D26BD90}"/>
  <tableColumns count="15">
    <tableColumn id="1" xr3:uid="{E3D89660-03EA-4968-BA05-93769B178579}" uniqueName="1" name="Movie_Title" queryTableFieldId="1" dataDxfId="21"/>
    <tableColumn id="2" xr3:uid="{BC68EF36-F84E-4E3F-94F1-5C3E28991EC5}" uniqueName="2" name="Date" queryTableFieldId="2" dataDxfId="20"/>
    <tableColumn id="3" xr3:uid="{7A571983-6ACB-45BF-B5CF-1F04EB6EACC6}" uniqueName="3" name="Industry" queryTableFieldId="3" dataDxfId="19"/>
    <tableColumn id="4" xr3:uid="{B7E5E916-590C-4212-BEA3-42FFD2CFA8B2}" uniqueName="4" name="Language" queryTableFieldId="4" dataDxfId="18"/>
    <tableColumn id="5" xr3:uid="{8B8E7D14-6B1B-46F7-8489-36892103BA6D}" uniqueName="5" name="Director" queryTableFieldId="5" dataDxfId="17"/>
    <tableColumn id="6" xr3:uid="{CE32EE08-96EC-4FEA-A04B-366DB98EC1B7}" uniqueName="6" name="Genre" queryTableFieldId="6" dataDxfId="16"/>
    <tableColumn id="7" xr3:uid="{FECAD4F3-5945-4058-951A-D096FC819BF8}" uniqueName="7" name="Budget_Cr" queryTableFieldId="7"/>
    <tableColumn id="8" xr3:uid="{7693D1F8-7332-4352-BFE9-33F53F5E2DD5}" uniqueName="8" name="India_Net_Cr" queryTableFieldId="8"/>
    <tableColumn id="9" xr3:uid="{C03C5B2E-0E07-40DE-87D4-F61AC9B2935F}" uniqueName="9" name="Worldwide_Gross_Cr" queryTableFieldId="9"/>
    <tableColumn id="10" xr3:uid="{07294547-A014-4A56-B917-E8D42FE57BFB}" uniqueName="10" name="Overseas_Cr" queryTableFieldId="10"/>
    <tableColumn id="11" xr3:uid="{59B1C1D3-30B9-41C1-9C41-0DB277209861}" uniqueName="11" name="Verdict" queryTableFieldId="11" dataDxfId="15"/>
    <tableColumn id="12" xr3:uid="{11FD7E28-3752-46A2-8849-4EB2C29BD105}" uniqueName="12" name="Days_Run" queryTableFieldId="12"/>
    <tableColumn id="13" xr3:uid="{B88A2089-C6F9-49F2-999A-4D47F2D129E4}" uniqueName="13" name="OTT_Platform" queryTableFieldId="13" dataDxfId="14"/>
    <tableColumn id="14" xr3:uid="{B9E22719-6541-4BAA-9EEF-0DE24029AA64}" uniqueName="14" name="ROI" queryTableFieldId="14"/>
    <tableColumn id="15" xr3:uid="{0E36F056-6B4B-451E-A246-89F56BF3B0D0}" uniqueName="15" name="Actor_Name" queryTableFieldId="15" dataDxfId="13"/>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0F02DD6-9C12-470A-9670-8348B978E9D6}" name="Actor_Remuneration" displayName="Actor_Remuneration" ref="A1:E32" tableType="queryTable" totalsRowShown="0">
  <autoFilter ref="A1:E32" xr:uid="{F0F02DD6-9C12-470A-9670-8348B978E9D6}"/>
  <tableColumns count="5">
    <tableColumn id="1" xr3:uid="{0E28648C-EB3D-46B9-99AB-A989BDE9F073}" uniqueName="1" name="Actor_Name" queryTableFieldId="1" dataDxfId="12"/>
    <tableColumn id="2" xr3:uid="{DD78A981-A1F5-4289-8E0C-A3A5FA981936}" uniqueName="2" name="Movie_Title" queryTableFieldId="2" dataDxfId="11"/>
    <tableColumn id="3" xr3:uid="{44A9E9D7-8798-4258-8BD7-AD2F2136464C}" uniqueName="3" name="Remuneration" queryTableFieldId="3"/>
    <tableColumn id="4" xr3:uid="{F64FAF88-9B93-4B94-9218-DE153C227CB5}" uniqueName="4" name="Year" queryTableFieldId="4"/>
    <tableColumn id="5" xr3:uid="{BC456C5F-29C3-449A-BB38-2A14250A685C}" uniqueName="5" name="Industry" queryTableFieldId="5" dataDxfId="10"/>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7CCB15C-8938-4536-BAF5-752023BC6483}" name="year_summary" displayName="year_summary" ref="A1:E37" tableType="queryTable" totalsRowShown="0">
  <autoFilter ref="A1:E37" xr:uid="{07CCB15C-8938-4536-BAF5-752023BC6483}"/>
  <tableColumns count="5">
    <tableColumn id="1" xr3:uid="{4B1981E5-2948-479C-A334-3684DDC6A62D}" uniqueName="1" name="Year" queryTableFieldId="1"/>
    <tableColumn id="2" xr3:uid="{5DAD2913-8D45-4495-B334-AA8C7C0BA940}" uniqueName="2" name="Industry" queryTableFieldId="2" dataDxfId="9"/>
    <tableColumn id="3" xr3:uid="{BD51E856-1674-4E2E-BBB4-5AD623DDE4FE}" uniqueName="3" name="Total_Budget" queryTableFieldId="3"/>
    <tableColumn id="4" xr3:uid="{55ACEFB8-EEF9-45A0-8922-5405CD1E9329}" uniqueName="4" name="Total_Collection" queryTableFieldId="4"/>
    <tableColumn id="5" xr3:uid="{BD8C1D2F-D2A5-4DD2-8D20-CE4738FB1794}" uniqueName="5" name="Num_Releases" queryTableFieldId="5"/>
  </tableColumns>
  <tableStyleInfo name="TableStyleLight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3C1BF62-CECF-40EB-9FD3-FBB84C2C0B3D}" name="Merge1" displayName="Merge1" ref="A1:S52" tableType="queryTable" totalsRowShown="0">
  <autoFilter ref="A1:S52" xr:uid="{73C1BF62-CECF-40EB-9FD3-FBB84C2C0B3D}"/>
  <tableColumns count="19">
    <tableColumn id="1" xr3:uid="{AA6AC05D-2C14-471A-B941-F978BC7E79B5}" uniqueName="1" name="Movie_Title" queryTableFieldId="1" dataDxfId="8"/>
    <tableColumn id="2" xr3:uid="{A594489C-B0E4-41E7-8CB2-ED12B2184D33}" uniqueName="2" name="Date" queryTableFieldId="2" dataDxfId="7"/>
    <tableColumn id="3" xr3:uid="{21AA3287-4059-4772-A4A3-0A37A2B99FBC}" uniqueName="3" name="Industry" queryTableFieldId="3" dataDxfId="6"/>
    <tableColumn id="4" xr3:uid="{1475704E-248B-4320-B7FB-43B2B7224D4C}" uniqueName="4" name="Language" queryTableFieldId="4" dataDxfId="5"/>
    <tableColumn id="5" xr3:uid="{A4E32401-920A-46A9-A947-14AFF7908200}" uniqueName="5" name="Director" queryTableFieldId="5" dataDxfId="4"/>
    <tableColumn id="6" xr3:uid="{B64F952A-1EE2-42C7-88AE-0BB362D42515}" uniqueName="6" name="Genre" queryTableFieldId="6" dataDxfId="3"/>
    <tableColumn id="7" xr3:uid="{B00C21CE-EFA5-4E12-AF0E-AC6BA162343D}" uniqueName="7" name="Budget_Cr" queryTableFieldId="7"/>
    <tableColumn id="8" xr3:uid="{2DED6D3E-8BD0-40A4-9EB5-E1E6F1D89AE2}" uniqueName="8" name="India_Net_Cr" queryTableFieldId="8"/>
    <tableColumn id="9" xr3:uid="{168EAAB3-9FD1-457C-90AF-D309F18C0646}" uniqueName="9" name="Worldwide_Gross_Cr" queryTableFieldId="9"/>
    <tableColumn id="10" xr3:uid="{80E59B76-B9FA-4EFB-BBEF-21A3AFFBEA0B}" uniqueName="10" name="Overseas_Cr" queryTableFieldId="10"/>
    <tableColumn id="11" xr3:uid="{34D91116-9215-4C4F-B7C3-7966429DB97B}" uniqueName="11" name="Verdict" queryTableFieldId="11" dataDxfId="2"/>
    <tableColumn id="12" xr3:uid="{B164201C-651E-49F3-807B-049D2063B3D9}" uniqueName="12" name="Days_Run" queryTableFieldId="12"/>
    <tableColumn id="13" xr3:uid="{8E4634CE-B29F-4E1A-B105-153AAE6F2489}" uniqueName="13" name="OTT_Platform" queryTableFieldId="13" dataDxfId="1"/>
    <tableColumn id="14" xr3:uid="{BC6A70A3-FD21-4E90-AC98-D797F5237681}" uniqueName="14" name="ROI" queryTableFieldId="14"/>
    <tableColumn id="15" xr3:uid="{10D173F0-815E-4579-AED8-923DD374AA10}" uniqueName="15" name="Actor_Name" queryTableFieldId="15" dataDxfId="0"/>
    <tableColumn id="16" xr3:uid="{FB56A408-B2F8-43AC-8797-3828D6806ACB}" uniqueName="16" name="Actor-Remuneration.Remuneration" queryTableFieldId="16"/>
    <tableColumn id="17" xr3:uid="{F60DF3C1-1199-4F9B-9308-E0430D03046C}" uniqueName="17" name="Actor-Remuneration.Year" queryTableFieldId="17"/>
    <tableColumn id="20" xr3:uid="{BFB2FDBB-BF5A-419B-A1C3-1D975E3A15C0}" uniqueName="20" name="Efficiency" queryTableFieldId="20"/>
    <tableColumn id="19" xr3:uid="{6A74B513-94AA-4235-9254-484F6733DBCA}" uniqueName="19" name="Hit_Flag" queryTableFieldId="22"/>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pivotTable" Target="../pivotTables/pivotTable14.xml"/></Relationships>
</file>

<file path=xl/worksheets/_rels/sheet11.xml.rels><?xml version="1.0" encoding="UTF-8" standalone="yes"?>
<Relationships xmlns="http://schemas.openxmlformats.org/package/2006/relationships"><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2" Type="http://schemas.openxmlformats.org/officeDocument/2006/relationships/pivotTable" Target="../pivotTables/pivotTable18.xml"/><Relationship Id="rId1" Type="http://schemas.openxmlformats.org/officeDocument/2006/relationships/pivotTable" Target="../pivotTables/pivotTable1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EFF62-2A17-4DCF-A4D9-B78CC6B7C7C4}">
  <dimension ref="A1"/>
  <sheetViews>
    <sheetView topLeftCell="A15" zoomScale="81" zoomScaleNormal="81" workbookViewId="0">
      <selection sqref="A1:XFD1048576"/>
    </sheetView>
  </sheetViews>
  <sheetFormatPr defaultRowHeight="14.4" x14ac:dyDescent="0.3"/>
  <cols>
    <col min="1" max="16384" width="8.88671875" style="12"/>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F68EE-D217-4F74-9745-C42834BF562D}">
  <dimension ref="A1"/>
  <sheetViews>
    <sheetView zoomScale="57" zoomScaleNormal="57" workbookViewId="0">
      <selection sqref="A1:XFD1048576"/>
    </sheetView>
  </sheetViews>
  <sheetFormatPr defaultRowHeight="14.4" x14ac:dyDescent="0.3"/>
  <cols>
    <col min="1" max="16384" width="8.88671875" style="12"/>
  </cols>
  <sheetData/>
  <mergeCells count="1">
    <mergeCell ref="A1:XFD104857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9E260-C243-49DC-A5B6-EB86C9CDE924}">
  <dimension ref="A1"/>
  <sheetViews>
    <sheetView zoomScale="57" zoomScaleNormal="57" workbookViewId="0">
      <selection sqref="A1:XFD1048576"/>
    </sheetView>
  </sheetViews>
  <sheetFormatPr defaultRowHeight="14.4" x14ac:dyDescent="0.3"/>
  <cols>
    <col min="1" max="16384" width="8.88671875" style="12"/>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33BB6-D4D5-47BC-9425-57D08259688B}">
  <dimension ref="A1"/>
  <sheetViews>
    <sheetView zoomScale="52" zoomScaleNormal="52" workbookViewId="0">
      <selection sqref="A1:XFD1048576"/>
    </sheetView>
  </sheetViews>
  <sheetFormatPr defaultRowHeight="14.4" x14ac:dyDescent="0.3"/>
  <cols>
    <col min="1" max="16384" width="8.88671875" style="12"/>
  </cols>
  <sheetData/>
  <mergeCells count="1">
    <mergeCell ref="A1:XFD104857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15671-FFDC-4094-AF28-1449D0F64AB2}">
  <dimension ref="A1"/>
  <sheetViews>
    <sheetView zoomScale="81" zoomScaleNormal="81" workbookViewId="0">
      <selection sqref="A1:XFD1048576"/>
    </sheetView>
  </sheetViews>
  <sheetFormatPr defaultRowHeight="14.4" x14ac:dyDescent="0.3"/>
  <cols>
    <col min="1" max="16384" width="8.88671875" style="12"/>
  </cols>
  <sheetData/>
  <mergeCells count="1">
    <mergeCell ref="A1:XFD104857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FECE1-E035-4CAB-B1C8-A77FF7C261B3}">
  <dimension ref="A1"/>
  <sheetViews>
    <sheetView tabSelected="1" zoomScale="81" zoomScaleNormal="81" workbookViewId="0">
      <selection sqref="A1:XFD1048576"/>
    </sheetView>
  </sheetViews>
  <sheetFormatPr defaultRowHeight="14.4" x14ac:dyDescent="0.3"/>
  <cols>
    <col min="1" max="16384" width="8.88671875" style="12"/>
  </cols>
  <sheetData/>
  <mergeCells count="1">
    <mergeCell ref="A1:XFD104857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622D0-6219-40B2-B653-FD7FA3C5EB72}">
  <dimension ref="A1:I37"/>
  <sheetViews>
    <sheetView topLeftCell="D1" workbookViewId="0">
      <selection activeCell="J17" sqref="J17"/>
    </sheetView>
  </sheetViews>
  <sheetFormatPr defaultRowHeight="14.4" x14ac:dyDescent="0.3"/>
  <cols>
    <col min="1" max="1" width="12.5546875" bestFit="1" customWidth="1"/>
    <col min="2" max="2" width="18.88671875" bestFit="1" customWidth="1"/>
    <col min="3" max="3" width="19.5546875" bestFit="1" customWidth="1"/>
    <col min="4" max="4" width="12" bestFit="1" customWidth="1"/>
    <col min="5" max="6" width="5" bestFit="1" customWidth="1"/>
    <col min="7" max="7" width="7.44140625" customWidth="1"/>
    <col min="8" max="8" width="6.88671875" customWidth="1"/>
    <col min="9" max="9" width="7.21875" customWidth="1"/>
    <col min="10" max="10" width="10.77734375" bestFit="1" customWidth="1"/>
    <col min="11" max="11" width="5.21875" bestFit="1" customWidth="1"/>
    <col min="12" max="12" width="6.21875" bestFit="1" customWidth="1"/>
    <col min="13" max="13" width="7.5546875" bestFit="1" customWidth="1"/>
    <col min="14" max="14" width="5.6640625" bestFit="1" customWidth="1"/>
    <col min="15" max="15" width="12.77734375" bestFit="1" customWidth="1"/>
    <col min="16" max="16" width="12.33203125" bestFit="1" customWidth="1"/>
    <col min="17" max="17" width="16.88671875" bestFit="1" customWidth="1"/>
    <col min="18" max="18" width="6.109375" bestFit="1" customWidth="1"/>
    <col min="19" max="19" width="4" bestFit="1" customWidth="1"/>
    <col min="20" max="20" width="6.6640625" bestFit="1" customWidth="1"/>
    <col min="21" max="21" width="5.6640625" bestFit="1" customWidth="1"/>
    <col min="22" max="22" width="6.88671875" bestFit="1" customWidth="1"/>
    <col min="23" max="23" width="12.77734375" bestFit="1" customWidth="1"/>
    <col min="24" max="24" width="8" bestFit="1" customWidth="1"/>
    <col min="25" max="25" width="8.109375" bestFit="1" customWidth="1"/>
    <col min="26" max="26" width="11.77734375" bestFit="1" customWidth="1"/>
    <col min="27" max="27" width="7.21875" bestFit="1" customWidth="1"/>
    <col min="28" max="28" width="4.44140625" bestFit="1" customWidth="1"/>
    <col min="29" max="29" width="4.33203125" bestFit="1" customWidth="1"/>
    <col min="30" max="30" width="6.109375" bestFit="1" customWidth="1"/>
    <col min="31" max="31" width="6.5546875" bestFit="1" customWidth="1"/>
    <col min="32" max="32" width="7" bestFit="1" customWidth="1"/>
    <col min="33" max="33" width="4.44140625" bestFit="1" customWidth="1"/>
    <col min="34" max="34" width="10.77734375" bestFit="1" customWidth="1"/>
  </cols>
  <sheetData>
    <row r="1" spans="1:9" x14ac:dyDescent="0.3">
      <c r="A1" t="s">
        <v>175</v>
      </c>
      <c r="B1" t="s">
        <v>176</v>
      </c>
      <c r="C1" t="s">
        <v>177</v>
      </c>
      <c r="D1" t="s">
        <v>178</v>
      </c>
    </row>
    <row r="2" spans="1:9" x14ac:dyDescent="0.3">
      <c r="A2" s="13">
        <v>15385</v>
      </c>
      <c r="B2" s="13">
        <v>33</v>
      </c>
      <c r="C2" s="13">
        <v>117.81818181818181</v>
      </c>
      <c r="D2" s="13">
        <v>123.70881066645772</v>
      </c>
      <c r="H2" s="2"/>
      <c r="I2" s="2"/>
    </row>
    <row r="3" spans="1:9" x14ac:dyDescent="0.3">
      <c r="F3">
        <f>GETPIVOTDATA("Count of Movie_Title",$A$1)</f>
        <v>33</v>
      </c>
      <c r="G3" s="6">
        <f>GETPIVOTDATA("Sum of Worldwide_Gross_Cr",$A$1)</f>
        <v>15385</v>
      </c>
      <c r="H3" s="2">
        <f>GETPIVOTDATA("Average of Budget_Cr",$A$1)</f>
        <v>117.81818181818181</v>
      </c>
      <c r="I3" s="2">
        <f>GETPIVOTDATA("Sum of ROI",$A$1)</f>
        <v>123.70881066645772</v>
      </c>
    </row>
    <row r="5" spans="1:9" x14ac:dyDescent="0.3">
      <c r="A5" s="3" t="s">
        <v>179</v>
      </c>
      <c r="B5" t="s">
        <v>175</v>
      </c>
    </row>
    <row r="6" spans="1:9" x14ac:dyDescent="0.3">
      <c r="A6" s="4" t="s">
        <v>128</v>
      </c>
      <c r="B6" s="13">
        <v>6325</v>
      </c>
    </row>
    <row r="7" spans="1:9" x14ac:dyDescent="0.3">
      <c r="A7" s="4" t="s">
        <v>131</v>
      </c>
      <c r="B7" s="13">
        <v>2000</v>
      </c>
    </row>
    <row r="8" spans="1:9" x14ac:dyDescent="0.3">
      <c r="A8" s="4" t="s">
        <v>139</v>
      </c>
      <c r="B8" s="13">
        <v>1870</v>
      </c>
    </row>
    <row r="9" spans="1:9" x14ac:dyDescent="0.3">
      <c r="A9" s="4" t="s">
        <v>125</v>
      </c>
      <c r="B9" s="13">
        <v>1950</v>
      </c>
    </row>
    <row r="10" spans="1:9" x14ac:dyDescent="0.3">
      <c r="A10" s="4" t="s">
        <v>122</v>
      </c>
      <c r="B10" s="13">
        <v>3240</v>
      </c>
    </row>
    <row r="11" spans="1:9" x14ac:dyDescent="0.3">
      <c r="A11" s="4" t="s">
        <v>180</v>
      </c>
      <c r="B11" s="13">
        <v>15385</v>
      </c>
    </row>
    <row r="28" spans="1:2" x14ac:dyDescent="0.3">
      <c r="A28" s="3" t="s">
        <v>179</v>
      </c>
      <c r="B28" t="s">
        <v>176</v>
      </c>
    </row>
    <row r="29" spans="1:2" x14ac:dyDescent="0.3">
      <c r="A29" s="4" t="s">
        <v>181</v>
      </c>
      <c r="B29" s="13">
        <v>2</v>
      </c>
    </row>
    <row r="30" spans="1:2" x14ac:dyDescent="0.3">
      <c r="A30" s="4" t="s">
        <v>182</v>
      </c>
      <c r="B30" s="13">
        <v>2</v>
      </c>
    </row>
    <row r="31" spans="1:2" x14ac:dyDescent="0.3">
      <c r="A31" s="4" t="s">
        <v>77</v>
      </c>
      <c r="B31" s="13">
        <v>1</v>
      </c>
    </row>
    <row r="32" spans="1:2" x14ac:dyDescent="0.3">
      <c r="A32" s="4" t="s">
        <v>183</v>
      </c>
      <c r="B32" s="13">
        <v>4</v>
      </c>
    </row>
    <row r="33" spans="1:2" x14ac:dyDescent="0.3">
      <c r="A33" s="4" t="s">
        <v>184</v>
      </c>
      <c r="B33" s="13">
        <v>6</v>
      </c>
    </row>
    <row r="34" spans="1:2" x14ac:dyDescent="0.3">
      <c r="A34" s="4" t="s">
        <v>185</v>
      </c>
      <c r="B34" s="13">
        <v>7</v>
      </c>
    </row>
    <row r="35" spans="1:2" x14ac:dyDescent="0.3">
      <c r="A35" s="4" t="s">
        <v>186</v>
      </c>
      <c r="B35" s="13">
        <v>10</v>
      </c>
    </row>
    <row r="36" spans="1:2" x14ac:dyDescent="0.3">
      <c r="A36" s="4" t="s">
        <v>187</v>
      </c>
      <c r="B36" s="13">
        <v>1</v>
      </c>
    </row>
    <row r="37" spans="1:2" x14ac:dyDescent="0.3">
      <c r="A37" s="4" t="s">
        <v>180</v>
      </c>
      <c r="B37" s="13">
        <v>33</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CEE42-DDF4-4321-998A-E36C1AFC6B45}">
  <dimension ref="A3:M85"/>
  <sheetViews>
    <sheetView topLeftCell="A59" workbookViewId="0">
      <selection activeCell="M67" sqref="M67"/>
    </sheetView>
  </sheetViews>
  <sheetFormatPr defaultRowHeight="14.4" x14ac:dyDescent="0.3"/>
  <cols>
    <col min="1" max="1" width="12.5546875" bestFit="1" customWidth="1"/>
    <col min="2" max="2" width="25.21875" bestFit="1" customWidth="1"/>
    <col min="3" max="3" width="12" bestFit="1" customWidth="1"/>
    <col min="4" max="4" width="5" bestFit="1" customWidth="1"/>
    <col min="5" max="5" width="4" bestFit="1" customWidth="1"/>
    <col min="6" max="6" width="12" bestFit="1" customWidth="1"/>
    <col min="7" max="7" width="5" bestFit="1" customWidth="1"/>
    <col min="8" max="8" width="12" bestFit="1" customWidth="1"/>
    <col min="9" max="9" width="18.6640625" customWidth="1"/>
    <col min="10" max="10" width="20.33203125" customWidth="1"/>
    <col min="11" max="11" width="12" bestFit="1" customWidth="1"/>
    <col min="12" max="12" width="5" bestFit="1" customWidth="1"/>
    <col min="13" max="15" width="12" bestFit="1" customWidth="1"/>
    <col min="16" max="16" width="4" bestFit="1" customWidth="1"/>
    <col min="17" max="17" width="12" bestFit="1" customWidth="1"/>
    <col min="18" max="18" width="5" bestFit="1" customWidth="1"/>
    <col min="19" max="19" width="4" bestFit="1" customWidth="1"/>
    <col min="20" max="20" width="5" bestFit="1" customWidth="1"/>
    <col min="21" max="21" width="12" bestFit="1" customWidth="1"/>
    <col min="22" max="22" width="4" bestFit="1" customWidth="1"/>
    <col min="23" max="23" width="12" bestFit="1" customWidth="1"/>
    <col min="24" max="25" width="4" bestFit="1" customWidth="1"/>
    <col min="26" max="26" width="12" bestFit="1" customWidth="1"/>
    <col min="27" max="27" width="3" bestFit="1" customWidth="1"/>
    <col min="28" max="28" width="5" bestFit="1" customWidth="1"/>
    <col min="29" max="29" width="12" bestFit="1" customWidth="1"/>
    <col min="30" max="30" width="5" bestFit="1" customWidth="1"/>
    <col min="31" max="31" width="4" bestFit="1" customWidth="1"/>
    <col min="32" max="32" width="10.77734375" bestFit="1" customWidth="1"/>
    <col min="33" max="33" width="6" bestFit="1" customWidth="1"/>
    <col min="34" max="34" width="8.6640625" bestFit="1" customWidth="1"/>
    <col min="35" max="35" width="6" bestFit="1" customWidth="1"/>
    <col min="36" max="36" width="8.6640625" bestFit="1" customWidth="1"/>
    <col min="37" max="37" width="6" bestFit="1" customWidth="1"/>
    <col min="38" max="38" width="8.6640625" bestFit="1" customWidth="1"/>
    <col min="39" max="39" width="6" bestFit="1" customWidth="1"/>
    <col min="40" max="40" width="8.6640625" bestFit="1" customWidth="1"/>
    <col min="41" max="41" width="6" bestFit="1" customWidth="1"/>
    <col min="42" max="42" width="8.6640625" bestFit="1" customWidth="1"/>
    <col min="43" max="44" width="6" bestFit="1" customWidth="1"/>
    <col min="45" max="45" width="8.6640625" bestFit="1" customWidth="1"/>
    <col min="46" max="47" width="6" bestFit="1" customWidth="1"/>
    <col min="48" max="48" width="8.6640625" bestFit="1" customWidth="1"/>
    <col min="49" max="50" width="6" bestFit="1" customWidth="1"/>
    <col min="51" max="51" width="8.6640625" bestFit="1" customWidth="1"/>
    <col min="52" max="52" width="6" bestFit="1" customWidth="1"/>
    <col min="53" max="53" width="8.6640625" bestFit="1" customWidth="1"/>
    <col min="54" max="54" width="6" bestFit="1" customWidth="1"/>
    <col min="55" max="55" width="8.6640625" bestFit="1" customWidth="1"/>
    <col min="56" max="56" width="10.77734375" bestFit="1" customWidth="1"/>
  </cols>
  <sheetData>
    <row r="3" spans="1:2" x14ac:dyDescent="0.3">
      <c r="A3" s="3" t="s">
        <v>179</v>
      </c>
      <c r="B3" t="s">
        <v>175</v>
      </c>
    </row>
    <row r="4" spans="1:2" x14ac:dyDescent="0.3">
      <c r="A4" s="4" t="s">
        <v>58</v>
      </c>
      <c r="B4" s="7">
        <v>600</v>
      </c>
    </row>
    <row r="5" spans="1:2" x14ac:dyDescent="0.3">
      <c r="A5" s="4" t="s">
        <v>38</v>
      </c>
      <c r="B5" s="7">
        <v>600</v>
      </c>
    </row>
    <row r="6" spans="1:2" x14ac:dyDescent="0.3">
      <c r="A6" s="4" t="s">
        <v>13</v>
      </c>
      <c r="B6" s="7">
        <v>640</v>
      </c>
    </row>
    <row r="7" spans="1:2" x14ac:dyDescent="0.3">
      <c r="A7" s="4" t="s">
        <v>51</v>
      </c>
      <c r="B7" s="7">
        <v>650</v>
      </c>
    </row>
    <row r="8" spans="1:2" x14ac:dyDescent="0.3">
      <c r="A8" s="4" t="s">
        <v>57</v>
      </c>
      <c r="B8" s="7">
        <v>900</v>
      </c>
    </row>
    <row r="9" spans="1:2" x14ac:dyDescent="0.3">
      <c r="A9" s="4" t="s">
        <v>61</v>
      </c>
      <c r="B9" s="7">
        <v>900</v>
      </c>
    </row>
    <row r="10" spans="1:2" x14ac:dyDescent="0.3">
      <c r="A10" s="4" t="s">
        <v>47</v>
      </c>
      <c r="B10" s="7">
        <v>1050</v>
      </c>
    </row>
    <row r="11" spans="1:2" x14ac:dyDescent="0.3">
      <c r="A11" s="4" t="s">
        <v>30</v>
      </c>
      <c r="B11" s="7">
        <v>1100</v>
      </c>
    </row>
    <row r="12" spans="1:2" x14ac:dyDescent="0.3">
      <c r="A12" s="4" t="s">
        <v>20</v>
      </c>
      <c r="B12" s="7">
        <v>1200</v>
      </c>
    </row>
    <row r="13" spans="1:2" x14ac:dyDescent="0.3">
      <c r="A13" s="4" t="s">
        <v>22</v>
      </c>
      <c r="B13" s="7">
        <v>1200</v>
      </c>
    </row>
    <row r="14" spans="1:2" x14ac:dyDescent="0.3">
      <c r="A14" s="4" t="s">
        <v>33</v>
      </c>
      <c r="B14" s="7">
        <v>2000</v>
      </c>
    </row>
    <row r="15" spans="1:2" x14ac:dyDescent="0.3">
      <c r="A15" s="4" t="s">
        <v>180</v>
      </c>
      <c r="B15" s="7">
        <v>10840</v>
      </c>
    </row>
    <row r="28" spans="1:2" x14ac:dyDescent="0.3">
      <c r="A28" s="3" t="s">
        <v>179</v>
      </c>
      <c r="B28" t="s">
        <v>175</v>
      </c>
    </row>
    <row r="29" spans="1:2" x14ac:dyDescent="0.3">
      <c r="A29" s="4">
        <v>8</v>
      </c>
      <c r="B29">
        <v>65</v>
      </c>
    </row>
    <row r="30" spans="1:2" x14ac:dyDescent="0.3">
      <c r="A30" s="4">
        <v>10</v>
      </c>
      <c r="B30">
        <v>75</v>
      </c>
    </row>
    <row r="31" spans="1:2" x14ac:dyDescent="0.3">
      <c r="A31" s="4">
        <v>12</v>
      </c>
      <c r="B31">
        <v>70</v>
      </c>
    </row>
    <row r="32" spans="1:2" x14ac:dyDescent="0.3">
      <c r="A32" s="4">
        <v>15</v>
      </c>
      <c r="B32">
        <v>80</v>
      </c>
    </row>
    <row r="33" spans="1:2" x14ac:dyDescent="0.3">
      <c r="A33" s="4">
        <v>18</v>
      </c>
      <c r="B33">
        <v>70</v>
      </c>
    </row>
    <row r="34" spans="1:2" x14ac:dyDescent="0.3">
      <c r="A34" s="4">
        <v>20</v>
      </c>
      <c r="B34">
        <v>565</v>
      </c>
    </row>
    <row r="35" spans="1:2" x14ac:dyDescent="0.3">
      <c r="A35" s="4">
        <v>25</v>
      </c>
      <c r="B35">
        <v>375</v>
      </c>
    </row>
    <row r="36" spans="1:2" x14ac:dyDescent="0.3">
      <c r="A36" s="4">
        <v>30</v>
      </c>
      <c r="B36">
        <v>450</v>
      </c>
    </row>
    <row r="37" spans="1:2" x14ac:dyDescent="0.3">
      <c r="A37" s="4">
        <v>35</v>
      </c>
      <c r="B37">
        <v>100</v>
      </c>
    </row>
    <row r="38" spans="1:2" x14ac:dyDescent="0.3">
      <c r="A38" s="4">
        <v>50</v>
      </c>
      <c r="B38">
        <v>720</v>
      </c>
    </row>
    <row r="39" spans="1:2" x14ac:dyDescent="0.3">
      <c r="A39" s="4">
        <v>70</v>
      </c>
      <c r="B39">
        <v>2000</v>
      </c>
    </row>
    <row r="40" spans="1:2" x14ac:dyDescent="0.3">
      <c r="A40" s="4">
        <v>80</v>
      </c>
      <c r="B40">
        <v>400</v>
      </c>
    </row>
    <row r="41" spans="1:2" x14ac:dyDescent="0.3">
      <c r="A41" s="4">
        <v>100</v>
      </c>
      <c r="B41">
        <v>1200</v>
      </c>
    </row>
    <row r="42" spans="1:2" x14ac:dyDescent="0.3">
      <c r="A42" s="4">
        <v>120</v>
      </c>
      <c r="B42">
        <v>450</v>
      </c>
    </row>
    <row r="43" spans="1:2" x14ac:dyDescent="0.3">
      <c r="A43" s="4">
        <v>130</v>
      </c>
      <c r="B43">
        <v>350</v>
      </c>
    </row>
    <row r="44" spans="1:2" x14ac:dyDescent="0.3">
      <c r="A44" s="4">
        <v>150</v>
      </c>
      <c r="B44">
        <v>500</v>
      </c>
    </row>
    <row r="45" spans="1:2" x14ac:dyDescent="0.3">
      <c r="A45" s="4">
        <v>170</v>
      </c>
      <c r="B45">
        <v>475</v>
      </c>
    </row>
    <row r="46" spans="1:2" x14ac:dyDescent="0.3">
      <c r="A46" s="4">
        <v>175</v>
      </c>
      <c r="B46">
        <v>640</v>
      </c>
    </row>
    <row r="47" spans="1:2" x14ac:dyDescent="0.3">
      <c r="A47" s="4">
        <v>200</v>
      </c>
      <c r="B47">
        <v>1500</v>
      </c>
    </row>
    <row r="48" spans="1:2" x14ac:dyDescent="0.3">
      <c r="A48" s="4">
        <v>250</v>
      </c>
      <c r="B48">
        <v>1650</v>
      </c>
    </row>
    <row r="49" spans="1:2" x14ac:dyDescent="0.3">
      <c r="A49" s="4">
        <v>300</v>
      </c>
      <c r="B49">
        <v>1550</v>
      </c>
    </row>
    <row r="50" spans="1:2" x14ac:dyDescent="0.3">
      <c r="A50" s="4">
        <v>400</v>
      </c>
      <c r="B50">
        <v>900</v>
      </c>
    </row>
    <row r="51" spans="1:2" x14ac:dyDescent="0.3">
      <c r="A51" s="4">
        <v>550</v>
      </c>
      <c r="B51">
        <v>1200</v>
      </c>
    </row>
    <row r="52" spans="1:2" x14ac:dyDescent="0.3">
      <c r="A52" s="4" t="s">
        <v>180</v>
      </c>
      <c r="B52">
        <v>15385</v>
      </c>
    </row>
    <row r="59" spans="1:2" x14ac:dyDescent="0.3">
      <c r="A59" s="3" t="s">
        <v>179</v>
      </c>
      <c r="B59" t="s">
        <v>189</v>
      </c>
    </row>
    <row r="60" spans="1:2" x14ac:dyDescent="0.3">
      <c r="A60" s="4" t="s">
        <v>36</v>
      </c>
      <c r="B60">
        <v>1</v>
      </c>
    </row>
    <row r="61" spans="1:2" x14ac:dyDescent="0.3">
      <c r="A61" s="4" t="s">
        <v>56</v>
      </c>
      <c r="B61">
        <v>2</v>
      </c>
    </row>
    <row r="62" spans="1:2" x14ac:dyDescent="0.3">
      <c r="A62" s="4" t="s">
        <v>15</v>
      </c>
      <c r="B62">
        <v>12</v>
      </c>
    </row>
    <row r="63" spans="1:2" x14ac:dyDescent="0.3">
      <c r="A63" s="4" t="s">
        <v>102</v>
      </c>
      <c r="B63">
        <v>1</v>
      </c>
    </row>
    <row r="64" spans="1:2" x14ac:dyDescent="0.3">
      <c r="A64" s="4" t="s">
        <v>29</v>
      </c>
      <c r="B64">
        <v>14</v>
      </c>
    </row>
    <row r="65" spans="1:13" x14ac:dyDescent="0.3">
      <c r="A65" s="4" t="s">
        <v>25</v>
      </c>
      <c r="B65">
        <v>3</v>
      </c>
    </row>
    <row r="66" spans="1:13" x14ac:dyDescent="0.3">
      <c r="A66" s="4" t="s">
        <v>180</v>
      </c>
      <c r="B66">
        <v>33</v>
      </c>
      <c r="I66" s="9" t="s">
        <v>104</v>
      </c>
      <c r="J66" s="9" t="s">
        <v>201</v>
      </c>
      <c r="M66" t="s">
        <v>202</v>
      </c>
    </row>
    <row r="67" spans="1:13" x14ac:dyDescent="0.3">
      <c r="I67" s="10">
        <v>2015</v>
      </c>
      <c r="J67" s="10">
        <v>715</v>
      </c>
      <c r="M67">
        <f>_xlfn.FORECAST.LINEAR(2025,$I$67:$I$76,$J$67:$J$76)</f>
        <v>2019.8127222532394</v>
      </c>
    </row>
    <row r="68" spans="1:13" x14ac:dyDescent="0.3">
      <c r="I68" s="10">
        <v>2016</v>
      </c>
      <c r="J68" s="10">
        <v>2150</v>
      </c>
    </row>
    <row r="69" spans="1:13" x14ac:dyDescent="0.3">
      <c r="I69" s="10">
        <v>2017</v>
      </c>
      <c r="J69" s="11"/>
    </row>
    <row r="70" spans="1:13" x14ac:dyDescent="0.3">
      <c r="I70" s="10">
        <v>2018</v>
      </c>
      <c r="J70" s="10">
        <v>400</v>
      </c>
    </row>
    <row r="71" spans="1:13" x14ac:dyDescent="0.3">
      <c r="I71" s="10">
        <v>2019</v>
      </c>
      <c r="J71" s="10">
        <v>810</v>
      </c>
    </row>
    <row r="72" spans="1:13" x14ac:dyDescent="0.3">
      <c r="I72" s="10">
        <v>2020</v>
      </c>
      <c r="J72" s="11"/>
    </row>
    <row r="73" spans="1:13" x14ac:dyDescent="0.3">
      <c r="I73" s="10">
        <v>2021</v>
      </c>
      <c r="J73" s="10">
        <v>1395</v>
      </c>
    </row>
    <row r="74" spans="1:13" x14ac:dyDescent="0.3">
      <c r="I74" s="10">
        <v>2022</v>
      </c>
      <c r="J74" s="10">
        <v>3745</v>
      </c>
    </row>
    <row r="75" spans="1:13" x14ac:dyDescent="0.3">
      <c r="I75" s="10">
        <v>2023</v>
      </c>
      <c r="J75" s="10">
        <v>6020</v>
      </c>
    </row>
    <row r="76" spans="1:13" x14ac:dyDescent="0.3">
      <c r="A76" s="3" t="s">
        <v>179</v>
      </c>
      <c r="B76" t="s">
        <v>175</v>
      </c>
      <c r="I76" s="10">
        <v>2024</v>
      </c>
      <c r="J76" s="10">
        <v>150</v>
      </c>
    </row>
    <row r="77" spans="1:13" x14ac:dyDescent="0.3">
      <c r="A77" s="4" t="s">
        <v>181</v>
      </c>
      <c r="B77">
        <v>715</v>
      </c>
    </row>
    <row r="78" spans="1:13" x14ac:dyDescent="0.3">
      <c r="A78" s="4" t="s">
        <v>182</v>
      </c>
      <c r="B78">
        <v>2150</v>
      </c>
    </row>
    <row r="79" spans="1:13" x14ac:dyDescent="0.3">
      <c r="A79" s="4" t="s">
        <v>77</v>
      </c>
      <c r="B79">
        <v>400</v>
      </c>
    </row>
    <row r="80" spans="1:13" x14ac:dyDescent="0.3">
      <c r="A80" s="4" t="s">
        <v>183</v>
      </c>
      <c r="B80">
        <v>810</v>
      </c>
    </row>
    <row r="81" spans="1:2" x14ac:dyDescent="0.3">
      <c r="A81" s="4" t="s">
        <v>184</v>
      </c>
      <c r="B81">
        <v>1395</v>
      </c>
    </row>
    <row r="82" spans="1:2" x14ac:dyDescent="0.3">
      <c r="A82" s="4" t="s">
        <v>185</v>
      </c>
      <c r="B82">
        <v>3745</v>
      </c>
    </row>
    <row r="83" spans="1:2" x14ac:dyDescent="0.3">
      <c r="A83" s="4" t="s">
        <v>186</v>
      </c>
      <c r="B83">
        <v>6020</v>
      </c>
    </row>
    <row r="84" spans="1:2" x14ac:dyDescent="0.3">
      <c r="A84" s="4" t="s">
        <v>187</v>
      </c>
      <c r="B84">
        <v>150</v>
      </c>
    </row>
    <row r="85" spans="1:2" x14ac:dyDescent="0.3">
      <c r="A85" s="4" t="s">
        <v>180</v>
      </c>
      <c r="B85">
        <v>15385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0FB41-AD52-40DE-9317-AC0D70FA2F1C}">
  <dimension ref="A3:G48"/>
  <sheetViews>
    <sheetView workbookViewId="0">
      <selection activeCell="P15" sqref="P15"/>
    </sheetView>
  </sheetViews>
  <sheetFormatPr defaultRowHeight="14.4" x14ac:dyDescent="0.3"/>
  <cols>
    <col min="1" max="1" width="25.21875" bestFit="1" customWidth="1"/>
    <col min="2" max="2" width="15.5546875" bestFit="1" customWidth="1"/>
    <col min="3" max="3" width="11.88671875" bestFit="1" customWidth="1"/>
    <col min="4" max="4" width="12.5546875" bestFit="1" customWidth="1"/>
    <col min="5" max="5" width="13.6640625" bestFit="1" customWidth="1"/>
    <col min="6" max="6" width="11.77734375" bestFit="1" customWidth="1"/>
    <col min="7" max="7" width="10.77734375" bestFit="1" customWidth="1"/>
  </cols>
  <sheetData>
    <row r="3" spans="1:2" x14ac:dyDescent="0.3">
      <c r="A3" s="3" t="s">
        <v>179</v>
      </c>
      <c r="B3" t="s">
        <v>175</v>
      </c>
    </row>
    <row r="4" spans="1:2" x14ac:dyDescent="0.3">
      <c r="A4" s="4" t="s">
        <v>128</v>
      </c>
      <c r="B4">
        <v>6325</v>
      </c>
    </row>
    <row r="5" spans="1:2" x14ac:dyDescent="0.3">
      <c r="A5" s="4" t="s">
        <v>131</v>
      </c>
      <c r="B5">
        <v>2000</v>
      </c>
    </row>
    <row r="6" spans="1:2" x14ac:dyDescent="0.3">
      <c r="A6" s="4" t="s">
        <v>139</v>
      </c>
      <c r="B6">
        <v>1870</v>
      </c>
    </row>
    <row r="7" spans="1:2" x14ac:dyDescent="0.3">
      <c r="A7" s="4" t="s">
        <v>125</v>
      </c>
      <c r="B7">
        <v>1950</v>
      </c>
    </row>
    <row r="8" spans="1:2" x14ac:dyDescent="0.3">
      <c r="A8" s="4" t="s">
        <v>122</v>
      </c>
      <c r="B8">
        <v>3240</v>
      </c>
    </row>
    <row r="9" spans="1:2" x14ac:dyDescent="0.3">
      <c r="A9" s="4" t="s">
        <v>180</v>
      </c>
      <c r="B9">
        <v>15385</v>
      </c>
    </row>
    <row r="22" spans="1:2" x14ac:dyDescent="0.3">
      <c r="A22" s="3" t="s">
        <v>179</v>
      </c>
      <c r="B22" t="s">
        <v>190</v>
      </c>
    </row>
    <row r="23" spans="1:2" x14ac:dyDescent="0.3">
      <c r="A23" s="4" t="s">
        <v>128</v>
      </c>
      <c r="B23" s="5">
        <v>2.9028491396558627</v>
      </c>
    </row>
    <row r="24" spans="1:2" x14ac:dyDescent="0.3">
      <c r="A24" s="4" t="s">
        <v>131</v>
      </c>
      <c r="B24" s="5">
        <v>1.7698717948717948</v>
      </c>
    </row>
    <row r="25" spans="1:2" x14ac:dyDescent="0.3">
      <c r="A25" s="4" t="s">
        <v>139</v>
      </c>
      <c r="B25" s="5">
        <v>4.1831216931216932</v>
      </c>
    </row>
    <row r="26" spans="1:2" x14ac:dyDescent="0.3">
      <c r="A26" s="4" t="s">
        <v>125</v>
      </c>
      <c r="B26" s="5">
        <v>8.6666666666666661</v>
      </c>
    </row>
    <row r="27" spans="1:2" x14ac:dyDescent="0.3">
      <c r="A27" s="4" t="s">
        <v>122</v>
      </c>
      <c r="B27" s="5">
        <v>1.8906385281385281</v>
      </c>
    </row>
    <row r="28" spans="1:2" x14ac:dyDescent="0.3">
      <c r="A28" s="4" t="s">
        <v>180</v>
      </c>
      <c r="B28">
        <v>3.7487518383775069</v>
      </c>
    </row>
    <row r="38" spans="1:7" x14ac:dyDescent="0.3">
      <c r="A38" s="3" t="s">
        <v>175</v>
      </c>
      <c r="B38" s="3" t="s">
        <v>188</v>
      </c>
    </row>
    <row r="39" spans="1:7" x14ac:dyDescent="0.3">
      <c r="A39" s="3" t="s">
        <v>179</v>
      </c>
      <c r="B39" t="s">
        <v>128</v>
      </c>
      <c r="C39" t="s">
        <v>131</v>
      </c>
      <c r="D39" t="s">
        <v>139</v>
      </c>
      <c r="E39" t="s">
        <v>125</v>
      </c>
      <c r="F39" t="s">
        <v>122</v>
      </c>
      <c r="G39" t="s">
        <v>180</v>
      </c>
    </row>
    <row r="40" spans="1:7" x14ac:dyDescent="0.3">
      <c r="A40" s="4" t="s">
        <v>181</v>
      </c>
      <c r="D40">
        <v>75</v>
      </c>
      <c r="F40">
        <v>640</v>
      </c>
      <c r="G40">
        <v>715</v>
      </c>
    </row>
    <row r="41" spans="1:7" x14ac:dyDescent="0.3">
      <c r="A41" s="4" t="s">
        <v>182</v>
      </c>
      <c r="B41">
        <v>2000</v>
      </c>
      <c r="D41">
        <v>150</v>
      </c>
      <c r="G41">
        <v>2150</v>
      </c>
    </row>
    <row r="42" spans="1:7" x14ac:dyDescent="0.3">
      <c r="A42" s="4" t="s">
        <v>77</v>
      </c>
      <c r="E42">
        <v>400</v>
      </c>
      <c r="G42">
        <v>400</v>
      </c>
    </row>
    <row r="43" spans="1:7" x14ac:dyDescent="0.3">
      <c r="A43" s="4" t="s">
        <v>183</v>
      </c>
      <c r="B43">
        <v>475</v>
      </c>
      <c r="D43">
        <v>335</v>
      </c>
      <c r="G43">
        <v>810</v>
      </c>
    </row>
    <row r="44" spans="1:7" x14ac:dyDescent="0.3">
      <c r="A44" s="4" t="s">
        <v>184</v>
      </c>
      <c r="C44">
        <v>350</v>
      </c>
      <c r="D44">
        <v>545</v>
      </c>
      <c r="F44">
        <v>500</v>
      </c>
      <c r="G44">
        <v>1395</v>
      </c>
    </row>
    <row r="45" spans="1:7" x14ac:dyDescent="0.3">
      <c r="A45" s="4" t="s">
        <v>185</v>
      </c>
      <c r="B45">
        <v>350</v>
      </c>
      <c r="C45">
        <v>450</v>
      </c>
      <c r="D45">
        <v>195</v>
      </c>
      <c r="E45">
        <v>1550</v>
      </c>
      <c r="F45">
        <v>1200</v>
      </c>
      <c r="G45">
        <v>3745</v>
      </c>
    </row>
    <row r="46" spans="1:7" x14ac:dyDescent="0.3">
      <c r="A46" s="4" t="s">
        <v>186</v>
      </c>
      <c r="B46">
        <v>3500</v>
      </c>
      <c r="C46">
        <v>1200</v>
      </c>
      <c r="D46">
        <v>420</v>
      </c>
      <c r="F46">
        <v>900</v>
      </c>
      <c r="G46">
        <v>6020</v>
      </c>
    </row>
    <row r="47" spans="1:7" x14ac:dyDescent="0.3">
      <c r="A47" s="4" t="s">
        <v>187</v>
      </c>
      <c r="D47">
        <v>150</v>
      </c>
      <c r="G47">
        <v>150</v>
      </c>
    </row>
    <row r="48" spans="1:7" x14ac:dyDescent="0.3">
      <c r="A48" s="4" t="s">
        <v>180</v>
      </c>
      <c r="B48">
        <v>6325</v>
      </c>
      <c r="C48">
        <v>2000</v>
      </c>
      <c r="D48">
        <v>1870</v>
      </c>
      <c r="E48">
        <v>1950</v>
      </c>
      <c r="F48">
        <v>3240</v>
      </c>
      <c r="G48">
        <v>15385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18B28-3641-4EBA-8083-D618296AA086}">
  <dimension ref="A1:C210"/>
  <sheetViews>
    <sheetView workbookViewId="0"/>
  </sheetViews>
  <sheetFormatPr defaultRowHeight="14.4" x14ac:dyDescent="0.3"/>
  <cols>
    <col min="1" max="1" width="13.88671875" bestFit="1" customWidth="1"/>
    <col min="2" max="2" width="25.21875" bestFit="1" customWidth="1"/>
    <col min="3" max="3" width="15.6640625" bestFit="1" customWidth="1"/>
    <col min="4" max="4" width="14.21875" customWidth="1"/>
    <col min="5" max="5" width="13.88671875" bestFit="1" customWidth="1"/>
    <col min="6" max="6" width="25.21875" bestFit="1" customWidth="1"/>
    <col min="7" max="7" width="17.88671875" bestFit="1" customWidth="1"/>
    <col min="8" max="8" width="17.44140625" bestFit="1" customWidth="1"/>
    <col min="9" max="9" width="6.77734375" bestFit="1" customWidth="1"/>
    <col min="10" max="10" width="10.77734375" bestFit="1" customWidth="1"/>
    <col min="11" max="11" width="4" bestFit="1" customWidth="1"/>
    <col min="12" max="12" width="5" bestFit="1" customWidth="1"/>
    <col min="13" max="13" width="4" bestFit="1" customWidth="1"/>
    <col min="14" max="14" width="5" bestFit="1" customWidth="1"/>
    <col min="15" max="16" width="4" bestFit="1" customWidth="1"/>
    <col min="17" max="18" width="5" bestFit="1" customWidth="1"/>
    <col min="19" max="19" width="4" bestFit="1" customWidth="1"/>
    <col min="20" max="20" width="7" bestFit="1" customWidth="1"/>
    <col min="21" max="21" width="10.77734375" bestFit="1" customWidth="1"/>
  </cols>
  <sheetData>
    <row r="1" spans="1:2" x14ac:dyDescent="0.3">
      <c r="A1" s="3" t="s">
        <v>179</v>
      </c>
      <c r="B1" t="s">
        <v>175</v>
      </c>
    </row>
    <row r="2" spans="1:2" x14ac:dyDescent="0.3">
      <c r="A2" s="4" t="s">
        <v>161</v>
      </c>
      <c r="B2">
        <v>1050</v>
      </c>
    </row>
    <row r="3" spans="1:2" x14ac:dyDescent="0.3">
      <c r="A3" s="4" t="s">
        <v>156</v>
      </c>
      <c r="B3">
        <v>1100</v>
      </c>
    </row>
    <row r="4" spans="1:2" x14ac:dyDescent="0.3">
      <c r="A4" s="4" t="s">
        <v>120</v>
      </c>
      <c r="B4">
        <v>1200</v>
      </c>
    </row>
    <row r="5" spans="1:2" x14ac:dyDescent="0.3">
      <c r="A5" s="4" t="s">
        <v>154</v>
      </c>
      <c r="B5">
        <v>1200</v>
      </c>
    </row>
    <row r="6" spans="1:2" x14ac:dyDescent="0.3">
      <c r="A6" s="4" t="s">
        <v>119</v>
      </c>
      <c r="B6">
        <v>1200</v>
      </c>
    </row>
    <row r="7" spans="1:2" x14ac:dyDescent="0.3">
      <c r="A7" s="4" t="s">
        <v>105</v>
      </c>
      <c r="B7">
        <v>1540</v>
      </c>
    </row>
    <row r="8" spans="1:2" x14ac:dyDescent="0.3">
      <c r="A8" s="4" t="s">
        <v>44</v>
      </c>
      <c r="B8">
        <v>1600</v>
      </c>
    </row>
    <row r="9" spans="1:2" x14ac:dyDescent="0.3">
      <c r="A9" s="4" t="s">
        <v>108</v>
      </c>
      <c r="B9">
        <v>2000</v>
      </c>
    </row>
    <row r="10" spans="1:2" x14ac:dyDescent="0.3">
      <c r="A10" s="4" t="s">
        <v>157</v>
      </c>
      <c r="B10">
        <v>2000</v>
      </c>
    </row>
    <row r="11" spans="1:2" x14ac:dyDescent="0.3">
      <c r="A11" s="4" t="s">
        <v>107</v>
      </c>
      <c r="B11">
        <v>2150</v>
      </c>
    </row>
    <row r="12" spans="1:2" x14ac:dyDescent="0.3">
      <c r="A12" s="4" t="s">
        <v>180</v>
      </c>
      <c r="B12">
        <v>15040</v>
      </c>
    </row>
    <row r="80" spans="1:3" x14ac:dyDescent="0.3">
      <c r="A80" s="3" t="s">
        <v>179</v>
      </c>
      <c r="B80" t="s">
        <v>191</v>
      </c>
      <c r="C80" t="s">
        <v>192</v>
      </c>
    </row>
    <row r="81" spans="1:3" x14ac:dyDescent="0.3">
      <c r="A81" s="4" t="s">
        <v>108</v>
      </c>
      <c r="B81">
        <v>60</v>
      </c>
      <c r="C81">
        <v>2000</v>
      </c>
    </row>
    <row r="82" spans="1:3" x14ac:dyDescent="0.3">
      <c r="A82" s="4" t="s">
        <v>112</v>
      </c>
      <c r="B82">
        <v>30</v>
      </c>
      <c r="C82">
        <v>350</v>
      </c>
    </row>
    <row r="83" spans="1:3" x14ac:dyDescent="0.3">
      <c r="A83" s="4" t="s">
        <v>106</v>
      </c>
      <c r="B83">
        <v>40</v>
      </c>
      <c r="C83">
        <v>500</v>
      </c>
    </row>
    <row r="84" spans="1:3" x14ac:dyDescent="0.3">
      <c r="A84" s="4" t="s">
        <v>85</v>
      </c>
      <c r="B84">
        <v>27</v>
      </c>
      <c r="C84">
        <v>170</v>
      </c>
    </row>
    <row r="85" spans="1:3" x14ac:dyDescent="0.3">
      <c r="A85" s="4" t="s">
        <v>88</v>
      </c>
      <c r="B85">
        <v>17</v>
      </c>
      <c r="C85">
        <v>740</v>
      </c>
    </row>
    <row r="86" spans="1:3" x14ac:dyDescent="0.3">
      <c r="A86" s="4" t="s">
        <v>113</v>
      </c>
      <c r="B86">
        <v>60</v>
      </c>
      <c r="C86">
        <v>475</v>
      </c>
    </row>
    <row r="87" spans="1:3" x14ac:dyDescent="0.3">
      <c r="A87" s="4" t="s">
        <v>120</v>
      </c>
      <c r="B87">
        <v>100</v>
      </c>
      <c r="C87">
        <v>1200</v>
      </c>
    </row>
    <row r="88" spans="1:3" x14ac:dyDescent="0.3">
      <c r="A88" s="4" t="s">
        <v>110</v>
      </c>
      <c r="B88">
        <v>50</v>
      </c>
      <c r="C88">
        <v>450</v>
      </c>
    </row>
    <row r="89" spans="1:3" x14ac:dyDescent="0.3">
      <c r="A89" s="4" t="s">
        <v>82</v>
      </c>
      <c r="B89">
        <v>15</v>
      </c>
      <c r="C89">
        <v>115</v>
      </c>
    </row>
    <row r="90" spans="1:3" x14ac:dyDescent="0.3">
      <c r="A90" s="4" t="s">
        <v>67</v>
      </c>
      <c r="B90">
        <v>65</v>
      </c>
      <c r="C90">
        <v>650</v>
      </c>
    </row>
    <row r="91" spans="1:3" x14ac:dyDescent="0.3">
      <c r="A91" s="4" t="s">
        <v>73</v>
      </c>
      <c r="B91">
        <v>5</v>
      </c>
      <c r="C91">
        <v>75</v>
      </c>
    </row>
    <row r="92" spans="1:3" x14ac:dyDescent="0.3">
      <c r="A92" s="4" t="s">
        <v>105</v>
      </c>
      <c r="B92">
        <v>147.5</v>
      </c>
      <c r="C92">
        <v>1540</v>
      </c>
    </row>
    <row r="93" spans="1:3" x14ac:dyDescent="0.3">
      <c r="A93" s="4" t="s">
        <v>60</v>
      </c>
      <c r="B93">
        <v>110</v>
      </c>
      <c r="C93">
        <v>600</v>
      </c>
    </row>
    <row r="94" spans="1:3" x14ac:dyDescent="0.3">
      <c r="A94" s="4" t="s">
        <v>119</v>
      </c>
      <c r="B94">
        <v>100</v>
      </c>
      <c r="C94">
        <v>1200</v>
      </c>
    </row>
    <row r="95" spans="1:3" x14ac:dyDescent="0.3">
      <c r="A95" s="4" t="s">
        <v>63</v>
      </c>
      <c r="B95">
        <v>70</v>
      </c>
      <c r="C95">
        <v>900</v>
      </c>
    </row>
    <row r="96" spans="1:3" x14ac:dyDescent="0.3">
      <c r="A96" s="4" t="s">
        <v>50</v>
      </c>
      <c r="B96">
        <v>5</v>
      </c>
      <c r="C96">
        <v>350</v>
      </c>
    </row>
    <row r="97" spans="1:3" x14ac:dyDescent="0.3">
      <c r="A97" s="4" t="s">
        <v>111</v>
      </c>
      <c r="B97">
        <v>100</v>
      </c>
      <c r="C97">
        <v>450</v>
      </c>
    </row>
    <row r="98" spans="1:3" x14ac:dyDescent="0.3">
      <c r="A98" s="4" t="s">
        <v>107</v>
      </c>
      <c r="B98">
        <v>110</v>
      </c>
      <c r="C98">
        <v>2150</v>
      </c>
    </row>
    <row r="99" spans="1:3" x14ac:dyDescent="0.3">
      <c r="A99" s="4" t="s">
        <v>76</v>
      </c>
      <c r="B99">
        <v>18</v>
      </c>
      <c r="C99">
        <v>320</v>
      </c>
    </row>
    <row r="100" spans="1:3" x14ac:dyDescent="0.3">
      <c r="A100" s="4" t="s">
        <v>109</v>
      </c>
      <c r="B100">
        <v>80</v>
      </c>
      <c r="C100">
        <v>950</v>
      </c>
    </row>
    <row r="101" spans="1:3" x14ac:dyDescent="0.3">
      <c r="A101" s="4" t="s">
        <v>44</v>
      </c>
      <c r="B101">
        <v>40</v>
      </c>
      <c r="C101">
        <v>1600</v>
      </c>
    </row>
    <row r="102" spans="1:3" x14ac:dyDescent="0.3">
      <c r="A102" s="4" t="s">
        <v>180</v>
      </c>
      <c r="B102">
        <v>1249.5</v>
      </c>
      <c r="C102">
        <v>16785</v>
      </c>
    </row>
    <row r="122" spans="1:1" x14ac:dyDescent="0.3">
      <c r="A122" s="4"/>
    </row>
    <row r="123" spans="1:1" x14ac:dyDescent="0.3">
      <c r="A123" s="4"/>
    </row>
    <row r="140" spans="1:2" x14ac:dyDescent="0.3">
      <c r="A140" s="3" t="s">
        <v>179</v>
      </c>
      <c r="B140" t="s">
        <v>200</v>
      </c>
    </row>
    <row r="141" spans="1:2" x14ac:dyDescent="0.3">
      <c r="A141" s="4" t="s">
        <v>164</v>
      </c>
      <c r="B141" s="8">
        <v>0</v>
      </c>
    </row>
    <row r="142" spans="1:2" x14ac:dyDescent="0.3">
      <c r="A142" s="4" t="s">
        <v>111</v>
      </c>
      <c r="B142" s="8">
        <v>0</v>
      </c>
    </row>
    <row r="143" spans="1:2" x14ac:dyDescent="0.3">
      <c r="A143" s="4" t="s">
        <v>85</v>
      </c>
      <c r="B143" s="8">
        <v>0.5</v>
      </c>
    </row>
    <row r="144" spans="1:2" x14ac:dyDescent="0.3">
      <c r="A144" s="4" t="s">
        <v>88</v>
      </c>
      <c r="B144" s="8">
        <v>0.75</v>
      </c>
    </row>
    <row r="145" spans="1:2" x14ac:dyDescent="0.3">
      <c r="A145" s="4" t="s">
        <v>66</v>
      </c>
      <c r="B145" s="8">
        <v>1</v>
      </c>
    </row>
    <row r="146" spans="1:2" x14ac:dyDescent="0.3">
      <c r="A146" s="4" t="s">
        <v>153</v>
      </c>
      <c r="B146" s="8">
        <v>1</v>
      </c>
    </row>
    <row r="147" spans="1:2" x14ac:dyDescent="0.3">
      <c r="A147" s="4" t="s">
        <v>112</v>
      </c>
      <c r="B147" s="8">
        <v>1</v>
      </c>
    </row>
    <row r="148" spans="1:2" x14ac:dyDescent="0.3">
      <c r="A148" s="4" t="s">
        <v>63</v>
      </c>
      <c r="B148" s="8">
        <v>1</v>
      </c>
    </row>
    <row r="149" spans="1:2" x14ac:dyDescent="0.3">
      <c r="A149" s="4" t="s">
        <v>119</v>
      </c>
      <c r="B149" s="8">
        <v>1</v>
      </c>
    </row>
    <row r="150" spans="1:2" x14ac:dyDescent="0.3">
      <c r="A150" s="4" t="s">
        <v>155</v>
      </c>
      <c r="B150" s="8">
        <v>1</v>
      </c>
    </row>
    <row r="151" spans="1:2" x14ac:dyDescent="0.3">
      <c r="A151" s="4" t="s">
        <v>157</v>
      </c>
      <c r="B151" s="8">
        <v>1</v>
      </c>
    </row>
    <row r="152" spans="1:2" x14ac:dyDescent="0.3">
      <c r="A152" s="4" t="s">
        <v>120</v>
      </c>
      <c r="B152" s="8">
        <v>1</v>
      </c>
    </row>
    <row r="153" spans="1:2" x14ac:dyDescent="0.3">
      <c r="A153" s="4" t="s">
        <v>180</v>
      </c>
      <c r="B153" s="8">
        <v>0.75</v>
      </c>
    </row>
    <row r="200" spans="1:2" x14ac:dyDescent="0.3">
      <c r="A200" s="3" t="s">
        <v>179</v>
      </c>
      <c r="B200" t="s">
        <v>176</v>
      </c>
    </row>
    <row r="201" spans="1:2" x14ac:dyDescent="0.3">
      <c r="A201" s="4" t="s">
        <v>107</v>
      </c>
      <c r="B201">
        <v>2</v>
      </c>
    </row>
    <row r="202" spans="1:2" x14ac:dyDescent="0.3">
      <c r="A202" s="4" t="s">
        <v>85</v>
      </c>
      <c r="B202">
        <v>2</v>
      </c>
    </row>
    <row r="203" spans="1:2" x14ac:dyDescent="0.3">
      <c r="A203" s="4" t="s">
        <v>169</v>
      </c>
      <c r="B203">
        <v>2</v>
      </c>
    </row>
    <row r="204" spans="1:2" x14ac:dyDescent="0.3">
      <c r="A204" s="4" t="s">
        <v>105</v>
      </c>
      <c r="B204">
        <v>2</v>
      </c>
    </row>
    <row r="205" spans="1:2" x14ac:dyDescent="0.3">
      <c r="A205" s="4" t="s">
        <v>76</v>
      </c>
      <c r="B205">
        <v>2</v>
      </c>
    </row>
    <row r="206" spans="1:2" x14ac:dyDescent="0.3">
      <c r="A206" s="4" t="s">
        <v>44</v>
      </c>
      <c r="B206">
        <v>2</v>
      </c>
    </row>
    <row r="207" spans="1:2" x14ac:dyDescent="0.3">
      <c r="A207" s="4" t="s">
        <v>109</v>
      </c>
      <c r="B207">
        <v>2</v>
      </c>
    </row>
    <row r="208" spans="1:2" x14ac:dyDescent="0.3">
      <c r="A208" s="4" t="s">
        <v>67</v>
      </c>
      <c r="B208">
        <v>3</v>
      </c>
    </row>
    <row r="209" spans="1:2" x14ac:dyDescent="0.3">
      <c r="A209" s="4" t="s">
        <v>88</v>
      </c>
      <c r="B209">
        <v>4</v>
      </c>
    </row>
    <row r="210" spans="1:2" x14ac:dyDescent="0.3">
      <c r="A210" s="4" t="s">
        <v>180</v>
      </c>
      <c r="B210">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D7986-6B30-4373-8B5F-2AB6CAE02F7C}">
  <dimension ref="A3:F38"/>
  <sheetViews>
    <sheetView workbookViewId="0">
      <selection activeCell="A29" sqref="A29"/>
    </sheetView>
  </sheetViews>
  <sheetFormatPr defaultRowHeight="14.4" x14ac:dyDescent="0.3"/>
  <cols>
    <col min="1" max="1" width="25.21875" bestFit="1" customWidth="1"/>
    <col min="2" max="2" width="15.5546875" bestFit="1" customWidth="1"/>
    <col min="3" max="3" width="8.44140625" bestFit="1" customWidth="1"/>
    <col min="4" max="4" width="10.33203125" bestFit="1" customWidth="1"/>
    <col min="5" max="5" width="5.5546875" bestFit="1" customWidth="1"/>
    <col min="6" max="6" width="6.6640625" bestFit="1" customWidth="1"/>
    <col min="7" max="7" width="10.77734375" bestFit="1" customWidth="1"/>
  </cols>
  <sheetData>
    <row r="3" spans="1:2" x14ac:dyDescent="0.3">
      <c r="A3" s="3" t="s">
        <v>179</v>
      </c>
      <c r="B3" t="s">
        <v>175</v>
      </c>
    </row>
    <row r="4" spans="1:2" x14ac:dyDescent="0.3">
      <c r="A4" s="4" t="s">
        <v>18</v>
      </c>
      <c r="B4">
        <v>8535</v>
      </c>
    </row>
    <row r="5" spans="1:2" x14ac:dyDescent="0.3">
      <c r="A5" s="4" t="s">
        <v>124</v>
      </c>
      <c r="B5">
        <v>2915</v>
      </c>
    </row>
    <row r="6" spans="1:2" x14ac:dyDescent="0.3">
      <c r="A6" s="4" t="s">
        <v>144</v>
      </c>
      <c r="B6">
        <v>150</v>
      </c>
    </row>
    <row r="7" spans="1:2" x14ac:dyDescent="0.3">
      <c r="A7" s="4" t="s">
        <v>143</v>
      </c>
      <c r="B7">
        <v>100</v>
      </c>
    </row>
    <row r="8" spans="1:2" x14ac:dyDescent="0.3">
      <c r="A8" s="4" t="s">
        <v>35</v>
      </c>
      <c r="B8">
        <v>2810</v>
      </c>
    </row>
    <row r="9" spans="1:2" x14ac:dyDescent="0.3">
      <c r="A9" s="4" t="s">
        <v>140</v>
      </c>
      <c r="B9">
        <v>155</v>
      </c>
    </row>
    <row r="10" spans="1:2" x14ac:dyDescent="0.3">
      <c r="A10" s="4" t="s">
        <v>141</v>
      </c>
      <c r="B10">
        <v>70</v>
      </c>
    </row>
    <row r="11" spans="1:2" x14ac:dyDescent="0.3">
      <c r="A11" s="4" t="s">
        <v>53</v>
      </c>
      <c r="B11">
        <v>650</v>
      </c>
    </row>
    <row r="12" spans="1:2" x14ac:dyDescent="0.3">
      <c r="A12" s="4" t="s">
        <v>180</v>
      </c>
      <c r="B12">
        <v>15385</v>
      </c>
    </row>
    <row r="29" spans="1:6" x14ac:dyDescent="0.3">
      <c r="A29" s="3" t="s">
        <v>175</v>
      </c>
      <c r="B29" s="3" t="s">
        <v>188</v>
      </c>
    </row>
    <row r="30" spans="1:6" x14ac:dyDescent="0.3">
      <c r="A30" s="3" t="s">
        <v>179</v>
      </c>
      <c r="B30" t="s">
        <v>31</v>
      </c>
      <c r="C30" t="s">
        <v>23</v>
      </c>
      <c r="D30" t="s">
        <v>65</v>
      </c>
      <c r="E30" t="s">
        <v>39</v>
      </c>
      <c r="F30" t="s">
        <v>14</v>
      </c>
    </row>
    <row r="31" spans="1:6" x14ac:dyDescent="0.3">
      <c r="A31" s="4" t="s">
        <v>181</v>
      </c>
      <c r="D31">
        <v>75</v>
      </c>
      <c r="F31">
        <v>640</v>
      </c>
    </row>
    <row r="32" spans="1:6" x14ac:dyDescent="0.3">
      <c r="A32" s="4" t="s">
        <v>182</v>
      </c>
      <c r="B32">
        <v>2000</v>
      </c>
      <c r="D32">
        <v>150</v>
      </c>
    </row>
    <row r="33" spans="1:6" x14ac:dyDescent="0.3">
      <c r="A33" s="4" t="s">
        <v>77</v>
      </c>
      <c r="C33">
        <v>400</v>
      </c>
    </row>
    <row r="34" spans="1:6" x14ac:dyDescent="0.3">
      <c r="A34" s="4" t="s">
        <v>183</v>
      </c>
      <c r="B34">
        <v>475</v>
      </c>
      <c r="D34">
        <v>335</v>
      </c>
    </row>
    <row r="35" spans="1:6" x14ac:dyDescent="0.3">
      <c r="A35" s="4" t="s">
        <v>184</v>
      </c>
      <c r="D35">
        <v>545</v>
      </c>
      <c r="E35">
        <v>350</v>
      </c>
      <c r="F35">
        <v>500</v>
      </c>
    </row>
    <row r="36" spans="1:6" x14ac:dyDescent="0.3">
      <c r="A36" s="4" t="s">
        <v>185</v>
      </c>
      <c r="B36">
        <v>350</v>
      </c>
      <c r="C36">
        <v>1550</v>
      </c>
      <c r="D36">
        <v>195</v>
      </c>
      <c r="E36">
        <v>450</v>
      </c>
      <c r="F36">
        <v>1200</v>
      </c>
    </row>
    <row r="37" spans="1:6" x14ac:dyDescent="0.3">
      <c r="A37" s="4" t="s">
        <v>186</v>
      </c>
      <c r="B37">
        <v>3500</v>
      </c>
      <c r="D37">
        <v>420</v>
      </c>
      <c r="E37">
        <v>1200</v>
      </c>
      <c r="F37">
        <v>900</v>
      </c>
    </row>
    <row r="38" spans="1:6" x14ac:dyDescent="0.3">
      <c r="A38" s="4" t="s">
        <v>187</v>
      </c>
      <c r="D38">
        <v>150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87526-8686-47F4-8CF9-4F791D9F307D}">
  <dimension ref="A3:B71"/>
  <sheetViews>
    <sheetView workbookViewId="0">
      <selection activeCell="D28" sqref="D28"/>
    </sheetView>
  </sheetViews>
  <sheetFormatPr defaultRowHeight="14.4" x14ac:dyDescent="0.3"/>
  <cols>
    <col min="1" max="1" width="12.5546875" bestFit="1" customWidth="1"/>
    <col min="2" max="2" width="18.88671875" bestFit="1" customWidth="1"/>
    <col min="3" max="3" width="13.6640625" bestFit="1" customWidth="1"/>
  </cols>
  <sheetData>
    <row r="3" spans="1:2" x14ac:dyDescent="0.3">
      <c r="A3" s="3" t="s">
        <v>179</v>
      </c>
      <c r="B3" t="s">
        <v>176</v>
      </c>
    </row>
    <row r="4" spans="1:2" x14ac:dyDescent="0.3">
      <c r="A4" s="4" t="s">
        <v>19</v>
      </c>
      <c r="B4">
        <v>2</v>
      </c>
    </row>
    <row r="5" spans="1:2" x14ac:dyDescent="0.3">
      <c r="A5" s="4" t="s">
        <v>37</v>
      </c>
      <c r="B5">
        <v>8</v>
      </c>
    </row>
    <row r="6" spans="1:2" x14ac:dyDescent="0.3">
      <c r="A6" s="4" t="s">
        <v>16</v>
      </c>
      <c r="B6">
        <v>10</v>
      </c>
    </row>
    <row r="7" spans="1:2" x14ac:dyDescent="0.3">
      <c r="A7" s="4" t="s">
        <v>26</v>
      </c>
      <c r="B7">
        <v>12</v>
      </c>
    </row>
    <row r="8" spans="1:2" x14ac:dyDescent="0.3">
      <c r="A8" s="4" t="s">
        <v>79</v>
      </c>
      <c r="B8">
        <v>1</v>
      </c>
    </row>
    <row r="9" spans="1:2" x14ac:dyDescent="0.3">
      <c r="A9" s="4" t="s">
        <v>180</v>
      </c>
      <c r="B9">
        <v>33</v>
      </c>
    </row>
    <row r="25" spans="1:2" x14ac:dyDescent="0.3">
      <c r="A25" s="3" t="s">
        <v>179</v>
      </c>
      <c r="B25" t="s">
        <v>176</v>
      </c>
    </row>
    <row r="26" spans="1:2" x14ac:dyDescent="0.3">
      <c r="A26" s="4">
        <v>45</v>
      </c>
      <c r="B26">
        <v>1</v>
      </c>
    </row>
    <row r="27" spans="1:2" x14ac:dyDescent="0.3">
      <c r="A27" s="4">
        <v>50</v>
      </c>
      <c r="B27">
        <v>1</v>
      </c>
    </row>
    <row r="28" spans="1:2" x14ac:dyDescent="0.3">
      <c r="A28" s="4">
        <v>55</v>
      </c>
      <c r="B28">
        <v>1</v>
      </c>
    </row>
    <row r="29" spans="1:2" x14ac:dyDescent="0.3">
      <c r="A29" s="4">
        <v>60</v>
      </c>
      <c r="B29">
        <v>2</v>
      </c>
    </row>
    <row r="30" spans="1:2" x14ac:dyDescent="0.3">
      <c r="A30" s="4">
        <v>65</v>
      </c>
      <c r="B30">
        <v>1</v>
      </c>
    </row>
    <row r="31" spans="1:2" x14ac:dyDescent="0.3">
      <c r="A31" s="4">
        <v>70</v>
      </c>
      <c r="B31">
        <v>5</v>
      </c>
    </row>
    <row r="32" spans="1:2" x14ac:dyDescent="0.3">
      <c r="A32" s="4">
        <v>75</v>
      </c>
      <c r="B32">
        <v>2</v>
      </c>
    </row>
    <row r="33" spans="1:2" x14ac:dyDescent="0.3">
      <c r="A33" s="4">
        <v>80</v>
      </c>
      <c r="B33">
        <v>3</v>
      </c>
    </row>
    <row r="34" spans="1:2" x14ac:dyDescent="0.3">
      <c r="A34" s="4">
        <v>85</v>
      </c>
      <c r="B34">
        <v>4</v>
      </c>
    </row>
    <row r="35" spans="1:2" x14ac:dyDescent="0.3">
      <c r="A35" s="4">
        <v>90</v>
      </c>
      <c r="B35">
        <v>3</v>
      </c>
    </row>
    <row r="36" spans="1:2" x14ac:dyDescent="0.3">
      <c r="A36" s="4">
        <v>95</v>
      </c>
      <c r="B36">
        <v>4</v>
      </c>
    </row>
    <row r="37" spans="1:2" x14ac:dyDescent="0.3">
      <c r="A37" s="4">
        <v>100</v>
      </c>
      <c r="B37">
        <v>1</v>
      </c>
    </row>
    <row r="38" spans="1:2" x14ac:dyDescent="0.3">
      <c r="A38" s="4">
        <v>110</v>
      </c>
      <c r="B38">
        <v>1</v>
      </c>
    </row>
    <row r="39" spans="1:2" x14ac:dyDescent="0.3">
      <c r="A39" s="4">
        <v>120</v>
      </c>
      <c r="B39">
        <v>3</v>
      </c>
    </row>
    <row r="40" spans="1:2" x14ac:dyDescent="0.3">
      <c r="A40" s="4">
        <v>150</v>
      </c>
      <c r="B40">
        <v>1</v>
      </c>
    </row>
    <row r="41" spans="1:2" x14ac:dyDescent="0.3">
      <c r="A41" s="4" t="s">
        <v>180</v>
      </c>
      <c r="B41">
        <v>33</v>
      </c>
    </row>
    <row r="43" spans="1:2" x14ac:dyDescent="0.3">
      <c r="A43" s="4"/>
    </row>
    <row r="44" spans="1:2" x14ac:dyDescent="0.3">
      <c r="A44" s="4">
        <v>45</v>
      </c>
      <c r="B44">
        <v>1</v>
      </c>
    </row>
    <row r="45" spans="1:2" x14ac:dyDescent="0.3">
      <c r="A45" s="4">
        <v>50</v>
      </c>
      <c r="B45">
        <v>1</v>
      </c>
    </row>
    <row r="46" spans="1:2" x14ac:dyDescent="0.3">
      <c r="A46" s="4">
        <v>55</v>
      </c>
      <c r="B46">
        <v>1</v>
      </c>
    </row>
    <row r="47" spans="1:2" x14ac:dyDescent="0.3">
      <c r="A47" s="4">
        <v>60</v>
      </c>
      <c r="B47">
        <v>2</v>
      </c>
    </row>
    <row r="48" spans="1:2" x14ac:dyDescent="0.3">
      <c r="A48" s="4">
        <v>65</v>
      </c>
      <c r="B48">
        <v>1</v>
      </c>
    </row>
    <row r="49" spans="1:2" x14ac:dyDescent="0.3">
      <c r="A49" s="4">
        <v>70</v>
      </c>
      <c r="B49">
        <v>5</v>
      </c>
    </row>
    <row r="50" spans="1:2" x14ac:dyDescent="0.3">
      <c r="A50" s="4">
        <v>75</v>
      </c>
      <c r="B50">
        <v>2</v>
      </c>
    </row>
    <row r="51" spans="1:2" x14ac:dyDescent="0.3">
      <c r="A51" s="4">
        <v>80</v>
      </c>
      <c r="B51">
        <v>3</v>
      </c>
    </row>
    <row r="52" spans="1:2" x14ac:dyDescent="0.3">
      <c r="A52" s="4">
        <v>85</v>
      </c>
      <c r="B52">
        <v>4</v>
      </c>
    </row>
    <row r="53" spans="1:2" x14ac:dyDescent="0.3">
      <c r="A53" s="4">
        <v>90</v>
      </c>
      <c r="B53">
        <v>3</v>
      </c>
    </row>
    <row r="54" spans="1:2" x14ac:dyDescent="0.3">
      <c r="A54" s="4">
        <v>95</v>
      </c>
      <c r="B54">
        <v>4</v>
      </c>
    </row>
    <row r="55" spans="1:2" x14ac:dyDescent="0.3">
      <c r="A55" s="4">
        <v>100</v>
      </c>
      <c r="B55">
        <v>1</v>
      </c>
    </row>
    <row r="56" spans="1:2" x14ac:dyDescent="0.3">
      <c r="A56" s="4">
        <v>110</v>
      </c>
      <c r="B56">
        <v>1</v>
      </c>
    </row>
    <row r="57" spans="1:2" x14ac:dyDescent="0.3">
      <c r="A57" s="4">
        <v>120</v>
      </c>
      <c r="B57">
        <v>3</v>
      </c>
    </row>
    <row r="58" spans="1:2" x14ac:dyDescent="0.3">
      <c r="A58" s="4">
        <v>150</v>
      </c>
      <c r="B58">
        <v>1</v>
      </c>
    </row>
    <row r="59" spans="1:2" x14ac:dyDescent="0.3">
      <c r="A59" s="4"/>
    </row>
    <row r="60" spans="1:2" x14ac:dyDescent="0.3">
      <c r="A60" s="4"/>
    </row>
    <row r="61" spans="1:2" x14ac:dyDescent="0.3">
      <c r="A61" s="4"/>
    </row>
    <row r="62" spans="1:2" x14ac:dyDescent="0.3">
      <c r="A62" s="4"/>
    </row>
    <row r="63" spans="1:2" x14ac:dyDescent="0.3">
      <c r="A63" s="4"/>
    </row>
    <row r="64" spans="1:2" x14ac:dyDescent="0.3">
      <c r="A64" s="4"/>
    </row>
    <row r="65" spans="1:1" x14ac:dyDescent="0.3">
      <c r="A65" s="4"/>
    </row>
    <row r="66" spans="1:1" x14ac:dyDescent="0.3">
      <c r="A66" s="4"/>
    </row>
    <row r="67" spans="1:1" x14ac:dyDescent="0.3">
      <c r="A67" s="4"/>
    </row>
    <row r="68" spans="1:1" x14ac:dyDescent="0.3">
      <c r="A68" s="4"/>
    </row>
    <row r="69" spans="1:1" x14ac:dyDescent="0.3">
      <c r="A69" s="4"/>
    </row>
    <row r="70" spans="1:1" x14ac:dyDescent="0.3">
      <c r="A70" s="4"/>
    </row>
    <row r="71" spans="1:1" x14ac:dyDescent="0.3">
      <c r="A71"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78DD6-FAF1-40E9-BBA7-5DBE6CE9E10C}">
  <dimension ref="A1:P34"/>
  <sheetViews>
    <sheetView topLeftCell="F9" workbookViewId="0">
      <selection sqref="A1:P34"/>
    </sheetView>
  </sheetViews>
  <sheetFormatPr defaultRowHeight="14.4" x14ac:dyDescent="0.3"/>
  <cols>
    <col min="1" max="1" width="16.109375" bestFit="1" customWidth="1"/>
    <col min="2" max="2" width="10.33203125" bestFit="1" customWidth="1"/>
    <col min="3" max="3" width="13.33203125" bestFit="1" customWidth="1"/>
    <col min="4" max="4" width="11.33203125" bestFit="1" customWidth="1"/>
    <col min="5" max="5" width="18" bestFit="1" customWidth="1"/>
    <col min="6" max="6" width="26.109375" bestFit="1" customWidth="1"/>
    <col min="7" max="7" width="15.33203125" bestFit="1" customWidth="1"/>
    <col min="8" max="8" width="12" bestFit="1" customWidth="1"/>
    <col min="9" max="9" width="14.21875" bestFit="1" customWidth="1"/>
    <col min="10" max="10" width="20.88671875" bestFit="1" customWidth="1"/>
    <col min="11" max="11" width="13.5546875" bestFit="1" customWidth="1"/>
    <col min="12" max="12" width="16.6640625" bestFit="1" customWidth="1"/>
    <col min="13" max="13" width="11.5546875" bestFit="1" customWidth="1"/>
    <col min="14" max="14" width="14.88671875" bestFit="1" customWidth="1"/>
    <col min="15" max="15" width="12" bestFit="1" customWidth="1"/>
    <col min="16" max="16" width="6.88671875" bestFit="1" customWidth="1"/>
  </cols>
  <sheetData>
    <row r="1" spans="1:16" x14ac:dyDescent="0.3">
      <c r="A1" t="s">
        <v>0</v>
      </c>
      <c r="B1" t="s">
        <v>121</v>
      </c>
      <c r="C1" t="s">
        <v>1</v>
      </c>
      <c r="D1" t="s">
        <v>2</v>
      </c>
      <c r="E1" t="s">
        <v>3</v>
      </c>
      <c r="F1" t="s">
        <v>4</v>
      </c>
      <c r="G1" t="s">
        <v>5</v>
      </c>
      <c r="H1" t="s">
        <v>6</v>
      </c>
      <c r="I1" t="s">
        <v>7</v>
      </c>
      <c r="J1" t="s">
        <v>8</v>
      </c>
      <c r="K1" t="s">
        <v>9</v>
      </c>
      <c r="L1" t="s">
        <v>10</v>
      </c>
      <c r="M1" t="s">
        <v>11</v>
      </c>
      <c r="N1" t="s">
        <v>12</v>
      </c>
      <c r="O1" t="s">
        <v>148</v>
      </c>
      <c r="P1" t="s">
        <v>104</v>
      </c>
    </row>
    <row r="2" spans="1:16" x14ac:dyDescent="0.3">
      <c r="A2" t="s">
        <v>13</v>
      </c>
      <c r="B2" s="1">
        <v>42284</v>
      </c>
      <c r="C2" t="s">
        <v>122</v>
      </c>
      <c r="D2" t="s">
        <v>14</v>
      </c>
      <c r="E2" t="s">
        <v>17</v>
      </c>
      <c r="F2" t="s">
        <v>123</v>
      </c>
      <c r="G2" t="s">
        <v>18</v>
      </c>
      <c r="H2">
        <v>175</v>
      </c>
      <c r="I2">
        <v>410</v>
      </c>
      <c r="J2">
        <v>640</v>
      </c>
      <c r="K2">
        <v>220</v>
      </c>
      <c r="L2" t="s">
        <v>15</v>
      </c>
      <c r="M2">
        <v>95</v>
      </c>
      <c r="N2" t="s">
        <v>19</v>
      </c>
      <c r="O2">
        <v>2.342857142857143</v>
      </c>
      <c r="P2">
        <f>YEAR(movie[[#This Row],[Date]])</f>
        <v>2015</v>
      </c>
    </row>
    <row r="3" spans="1:16" x14ac:dyDescent="0.3">
      <c r="A3" t="s">
        <v>20</v>
      </c>
      <c r="B3" s="1">
        <v>44645</v>
      </c>
      <c r="C3" t="s">
        <v>122</v>
      </c>
      <c r="D3" t="s">
        <v>14</v>
      </c>
      <c r="E3" t="s">
        <v>21</v>
      </c>
      <c r="F3" t="s">
        <v>173</v>
      </c>
      <c r="G3" t="s">
        <v>124</v>
      </c>
      <c r="H3">
        <v>550</v>
      </c>
      <c r="I3">
        <v>900</v>
      </c>
      <c r="J3">
        <v>1200</v>
      </c>
      <c r="K3">
        <v>300</v>
      </c>
      <c r="L3" t="s">
        <v>15</v>
      </c>
      <c r="M3">
        <v>120</v>
      </c>
      <c r="N3" t="s">
        <v>16</v>
      </c>
      <c r="O3">
        <v>1.6363636363636365</v>
      </c>
      <c r="P3">
        <f>YEAR(movie[[#This Row],[Date]])</f>
        <v>2022</v>
      </c>
    </row>
    <row r="4" spans="1:16" x14ac:dyDescent="0.3">
      <c r="A4" t="s">
        <v>22</v>
      </c>
      <c r="B4" s="1">
        <v>44665</v>
      </c>
      <c r="C4" t="s">
        <v>125</v>
      </c>
      <c r="D4" t="s">
        <v>23</v>
      </c>
      <c r="E4" t="s">
        <v>24</v>
      </c>
      <c r="F4" t="s">
        <v>126</v>
      </c>
      <c r="G4" t="s">
        <v>18</v>
      </c>
      <c r="H4">
        <v>100</v>
      </c>
      <c r="I4">
        <v>800</v>
      </c>
      <c r="J4">
        <v>1200</v>
      </c>
      <c r="K4">
        <v>400</v>
      </c>
      <c r="L4" t="s">
        <v>25</v>
      </c>
      <c r="M4">
        <v>110</v>
      </c>
      <c r="N4" t="s">
        <v>26</v>
      </c>
      <c r="O4">
        <v>8</v>
      </c>
      <c r="P4">
        <f>YEAR(movie[[#This Row],[Date]])</f>
        <v>2022</v>
      </c>
    </row>
    <row r="5" spans="1:16" x14ac:dyDescent="0.3">
      <c r="A5" t="s">
        <v>27</v>
      </c>
      <c r="B5" s="1">
        <v>44547</v>
      </c>
      <c r="C5" t="s">
        <v>122</v>
      </c>
      <c r="D5" t="s">
        <v>14</v>
      </c>
      <c r="E5" t="s">
        <v>28</v>
      </c>
      <c r="F5" t="s">
        <v>127</v>
      </c>
      <c r="G5" t="s">
        <v>124</v>
      </c>
      <c r="H5">
        <v>150</v>
      </c>
      <c r="I5">
        <v>350</v>
      </c>
      <c r="J5">
        <v>500</v>
      </c>
      <c r="K5">
        <v>150</v>
      </c>
      <c r="L5" t="s">
        <v>29</v>
      </c>
      <c r="M5">
        <v>90</v>
      </c>
      <c r="N5" t="s">
        <v>19</v>
      </c>
      <c r="O5">
        <v>2.3333333333333335</v>
      </c>
      <c r="P5">
        <f>YEAR(movie[[#This Row],[Date]])</f>
        <v>2021</v>
      </c>
    </row>
    <row r="6" spans="1:16" x14ac:dyDescent="0.3">
      <c r="A6" t="s">
        <v>30</v>
      </c>
      <c r="B6" s="1">
        <v>45176</v>
      </c>
      <c r="C6" t="s">
        <v>128</v>
      </c>
      <c r="D6" t="s">
        <v>31</v>
      </c>
      <c r="E6" t="s">
        <v>32</v>
      </c>
      <c r="F6" t="s">
        <v>129</v>
      </c>
      <c r="G6" t="s">
        <v>18</v>
      </c>
      <c r="H6">
        <v>300</v>
      </c>
      <c r="I6">
        <v>640</v>
      </c>
      <c r="J6">
        <v>1100</v>
      </c>
      <c r="K6">
        <v>460</v>
      </c>
      <c r="L6" t="s">
        <v>15</v>
      </c>
      <c r="M6">
        <v>85</v>
      </c>
      <c r="N6" t="s">
        <v>16</v>
      </c>
      <c r="O6">
        <v>2.1333333333333333</v>
      </c>
      <c r="P6">
        <f>YEAR(movie[[#This Row],[Date]])</f>
        <v>2023</v>
      </c>
    </row>
    <row r="7" spans="1:16" x14ac:dyDescent="0.3">
      <c r="A7" t="s">
        <v>33</v>
      </c>
      <c r="B7" s="1">
        <v>42727</v>
      </c>
      <c r="C7" t="s">
        <v>128</v>
      </c>
      <c r="D7" t="s">
        <v>31</v>
      </c>
      <c r="E7" t="s">
        <v>34</v>
      </c>
      <c r="F7" t="s">
        <v>130</v>
      </c>
      <c r="G7" t="s">
        <v>35</v>
      </c>
      <c r="H7">
        <v>70</v>
      </c>
      <c r="I7">
        <v>387</v>
      </c>
      <c r="J7">
        <v>2000</v>
      </c>
      <c r="K7">
        <v>1600</v>
      </c>
      <c r="L7" t="s">
        <v>36</v>
      </c>
      <c r="M7">
        <v>150</v>
      </c>
      <c r="N7" t="s">
        <v>37</v>
      </c>
      <c r="O7">
        <v>5.5285714285714285</v>
      </c>
      <c r="P7">
        <f>YEAR(movie[[#This Row],[Date]])</f>
        <v>2016</v>
      </c>
    </row>
    <row r="8" spans="1:16" x14ac:dyDescent="0.3">
      <c r="A8" t="s">
        <v>38</v>
      </c>
      <c r="B8" s="1">
        <v>45218</v>
      </c>
      <c r="C8" t="s">
        <v>131</v>
      </c>
      <c r="D8" t="s">
        <v>39</v>
      </c>
      <c r="E8" t="s">
        <v>40</v>
      </c>
      <c r="F8" t="s">
        <v>132</v>
      </c>
      <c r="G8" t="s">
        <v>18</v>
      </c>
      <c r="H8">
        <v>250</v>
      </c>
      <c r="I8">
        <v>350</v>
      </c>
      <c r="J8">
        <v>600</v>
      </c>
      <c r="K8">
        <v>250</v>
      </c>
      <c r="L8" t="s">
        <v>29</v>
      </c>
      <c r="M8">
        <v>80</v>
      </c>
      <c r="N8" t="s">
        <v>16</v>
      </c>
      <c r="O8">
        <v>1.4</v>
      </c>
      <c r="P8">
        <f>YEAR(movie[[#This Row],[Date]])</f>
        <v>2023</v>
      </c>
    </row>
    <row r="9" spans="1:16" x14ac:dyDescent="0.3">
      <c r="A9" t="s">
        <v>41</v>
      </c>
      <c r="B9" s="1">
        <v>44626</v>
      </c>
      <c r="C9" t="s">
        <v>131</v>
      </c>
      <c r="D9" t="s">
        <v>39</v>
      </c>
      <c r="E9" t="s">
        <v>42</v>
      </c>
      <c r="F9" t="s">
        <v>174</v>
      </c>
      <c r="G9" t="s">
        <v>18</v>
      </c>
      <c r="H9">
        <v>120</v>
      </c>
      <c r="I9">
        <v>250</v>
      </c>
      <c r="J9">
        <v>450</v>
      </c>
      <c r="K9">
        <v>200</v>
      </c>
      <c r="L9" t="s">
        <v>15</v>
      </c>
      <c r="M9">
        <v>90</v>
      </c>
      <c r="N9" t="s">
        <v>37</v>
      </c>
      <c r="O9">
        <v>2.0833333333333335</v>
      </c>
      <c r="P9">
        <f>YEAR(movie[[#This Row],[Date]])</f>
        <v>2022</v>
      </c>
    </row>
    <row r="10" spans="1:16" x14ac:dyDescent="0.3">
      <c r="A10" t="s">
        <v>43</v>
      </c>
      <c r="B10" s="1">
        <v>43455</v>
      </c>
      <c r="C10" t="s">
        <v>125</v>
      </c>
      <c r="D10" t="s">
        <v>23</v>
      </c>
      <c r="E10" t="s">
        <v>24</v>
      </c>
      <c r="F10" t="s">
        <v>44</v>
      </c>
      <c r="G10" t="s">
        <v>18</v>
      </c>
      <c r="H10">
        <v>80</v>
      </c>
      <c r="I10">
        <v>240</v>
      </c>
      <c r="J10">
        <v>400</v>
      </c>
      <c r="K10">
        <v>160</v>
      </c>
      <c r="L10" t="s">
        <v>29</v>
      </c>
      <c r="M10">
        <v>85</v>
      </c>
      <c r="N10" t="s">
        <v>26</v>
      </c>
      <c r="O10">
        <v>3</v>
      </c>
      <c r="P10">
        <f>YEAR(movie[[#This Row],[Date]])</f>
        <v>2018</v>
      </c>
    </row>
    <row r="11" spans="1:16" x14ac:dyDescent="0.3">
      <c r="A11" t="s">
        <v>45</v>
      </c>
      <c r="B11" s="1">
        <v>43506</v>
      </c>
      <c r="C11" t="s">
        <v>128</v>
      </c>
      <c r="D11" t="s">
        <v>31</v>
      </c>
      <c r="E11" t="s">
        <v>46</v>
      </c>
      <c r="F11" t="s">
        <v>133</v>
      </c>
      <c r="G11" t="s">
        <v>18</v>
      </c>
      <c r="H11">
        <v>170</v>
      </c>
      <c r="I11">
        <v>300</v>
      </c>
      <c r="J11">
        <v>475</v>
      </c>
      <c r="K11">
        <v>175</v>
      </c>
      <c r="L11" t="s">
        <v>29</v>
      </c>
      <c r="M11">
        <v>70</v>
      </c>
      <c r="N11" t="s">
        <v>26</v>
      </c>
      <c r="O11">
        <v>1.7647058823529411</v>
      </c>
      <c r="P11">
        <f>YEAR(movie[[#This Row],[Date]])</f>
        <v>2019</v>
      </c>
    </row>
    <row r="12" spans="1:16" x14ac:dyDescent="0.3">
      <c r="A12" t="s">
        <v>47</v>
      </c>
      <c r="B12" s="1">
        <v>44951</v>
      </c>
      <c r="C12" t="s">
        <v>128</v>
      </c>
      <c r="D12" t="s">
        <v>31</v>
      </c>
      <c r="E12" t="s">
        <v>46</v>
      </c>
      <c r="F12" t="s">
        <v>134</v>
      </c>
      <c r="G12" t="s">
        <v>18</v>
      </c>
      <c r="H12">
        <v>250</v>
      </c>
      <c r="I12">
        <v>540</v>
      </c>
      <c r="J12">
        <v>1050</v>
      </c>
      <c r="K12">
        <v>510</v>
      </c>
      <c r="L12" t="s">
        <v>15</v>
      </c>
      <c r="M12">
        <v>95</v>
      </c>
      <c r="N12" t="s">
        <v>26</v>
      </c>
      <c r="O12">
        <v>2.16</v>
      </c>
      <c r="P12">
        <f>YEAR(movie[[#This Row],[Date]])</f>
        <v>2023</v>
      </c>
    </row>
    <row r="13" spans="1:16" x14ac:dyDescent="0.3">
      <c r="A13" t="s">
        <v>48</v>
      </c>
      <c r="B13" s="1">
        <v>44209</v>
      </c>
      <c r="C13" t="s">
        <v>131</v>
      </c>
      <c r="D13" t="s">
        <v>39</v>
      </c>
      <c r="E13" t="s">
        <v>40</v>
      </c>
      <c r="F13" t="s">
        <v>135</v>
      </c>
      <c r="G13" t="s">
        <v>18</v>
      </c>
      <c r="H13">
        <v>130</v>
      </c>
      <c r="I13">
        <v>240</v>
      </c>
      <c r="J13">
        <v>350</v>
      </c>
      <c r="K13">
        <v>110</v>
      </c>
      <c r="L13" t="s">
        <v>29</v>
      </c>
      <c r="M13">
        <v>60</v>
      </c>
      <c r="N13" t="s">
        <v>26</v>
      </c>
      <c r="O13">
        <v>1.8461538461538463</v>
      </c>
      <c r="P13">
        <f>YEAR(movie[[#This Row],[Date]])</f>
        <v>2021</v>
      </c>
    </row>
    <row r="14" spans="1:16" x14ac:dyDescent="0.3">
      <c r="A14" t="s">
        <v>49</v>
      </c>
      <c r="B14" s="1">
        <v>44834</v>
      </c>
      <c r="C14" t="s">
        <v>125</v>
      </c>
      <c r="D14" t="s">
        <v>23</v>
      </c>
      <c r="E14" t="s">
        <v>50</v>
      </c>
      <c r="F14" t="s">
        <v>50</v>
      </c>
      <c r="G14" t="s">
        <v>35</v>
      </c>
      <c r="H14">
        <v>20</v>
      </c>
      <c r="I14">
        <v>300</v>
      </c>
      <c r="J14">
        <v>350</v>
      </c>
      <c r="K14">
        <v>50</v>
      </c>
      <c r="L14" t="s">
        <v>15</v>
      </c>
      <c r="M14">
        <v>120</v>
      </c>
      <c r="N14" t="s">
        <v>16</v>
      </c>
      <c r="O14">
        <v>15</v>
      </c>
      <c r="P14">
        <f>YEAR(movie[[#This Row],[Date]])</f>
        <v>2022</v>
      </c>
    </row>
    <row r="15" spans="1:16" x14ac:dyDescent="0.3">
      <c r="A15" t="s">
        <v>51</v>
      </c>
      <c r="B15" s="1">
        <v>44883</v>
      </c>
      <c r="C15" t="s">
        <v>128</v>
      </c>
      <c r="D15" t="s">
        <v>31</v>
      </c>
      <c r="E15" t="s">
        <v>52</v>
      </c>
      <c r="F15" t="s">
        <v>136</v>
      </c>
      <c r="G15" t="s">
        <v>53</v>
      </c>
      <c r="H15">
        <v>50</v>
      </c>
      <c r="I15">
        <v>240</v>
      </c>
      <c r="J15">
        <v>350</v>
      </c>
      <c r="K15">
        <v>110</v>
      </c>
      <c r="L15" t="s">
        <v>29</v>
      </c>
      <c r="M15">
        <v>70</v>
      </c>
      <c r="N15" t="s">
        <v>37</v>
      </c>
      <c r="O15">
        <v>4.8</v>
      </c>
      <c r="P15">
        <f>YEAR(movie[[#This Row],[Date]])</f>
        <v>2022</v>
      </c>
    </row>
    <row r="16" spans="1:16" x14ac:dyDescent="0.3">
      <c r="A16" t="s">
        <v>54</v>
      </c>
      <c r="B16" s="1">
        <v>45242</v>
      </c>
      <c r="C16" t="s">
        <v>128</v>
      </c>
      <c r="D16" t="s">
        <v>31</v>
      </c>
      <c r="E16" t="s">
        <v>55</v>
      </c>
      <c r="F16" t="s">
        <v>137</v>
      </c>
      <c r="G16" t="s">
        <v>18</v>
      </c>
      <c r="H16">
        <v>300</v>
      </c>
      <c r="I16">
        <v>280</v>
      </c>
      <c r="J16">
        <v>450</v>
      </c>
      <c r="K16">
        <v>170</v>
      </c>
      <c r="L16" t="s">
        <v>56</v>
      </c>
      <c r="M16">
        <v>50</v>
      </c>
      <c r="N16" t="s">
        <v>26</v>
      </c>
      <c r="O16">
        <v>0.93333333333333335</v>
      </c>
      <c r="P16">
        <f>YEAR(movie[[#This Row],[Date]])</f>
        <v>2023</v>
      </c>
    </row>
    <row r="17" spans="1:16" x14ac:dyDescent="0.3">
      <c r="A17" t="s">
        <v>57</v>
      </c>
      <c r="B17" s="1">
        <v>45282</v>
      </c>
      <c r="C17" t="s">
        <v>122</v>
      </c>
      <c r="D17" t="s">
        <v>14</v>
      </c>
      <c r="E17" t="s">
        <v>24</v>
      </c>
      <c r="F17" t="s">
        <v>138</v>
      </c>
      <c r="G17" t="s">
        <v>18</v>
      </c>
      <c r="H17">
        <v>400</v>
      </c>
      <c r="I17">
        <v>500</v>
      </c>
      <c r="J17">
        <v>900</v>
      </c>
      <c r="K17">
        <v>400</v>
      </c>
      <c r="L17" t="s">
        <v>29</v>
      </c>
      <c r="M17">
        <v>80</v>
      </c>
      <c r="N17" t="s">
        <v>16</v>
      </c>
      <c r="O17">
        <v>1.25</v>
      </c>
      <c r="P17">
        <f>YEAR(movie[[#This Row],[Date]])</f>
        <v>2023</v>
      </c>
    </row>
    <row r="18" spans="1:16" x14ac:dyDescent="0.3">
      <c r="A18" t="s">
        <v>58</v>
      </c>
      <c r="B18" s="1">
        <v>45148</v>
      </c>
      <c r="C18" t="s">
        <v>131</v>
      </c>
      <c r="D18" t="s">
        <v>39</v>
      </c>
      <c r="E18" t="s">
        <v>59</v>
      </c>
      <c r="F18" t="s">
        <v>60</v>
      </c>
      <c r="G18" t="s">
        <v>18</v>
      </c>
      <c r="H18">
        <v>200</v>
      </c>
      <c r="I18">
        <v>350</v>
      </c>
      <c r="J18">
        <v>600</v>
      </c>
      <c r="K18">
        <v>250</v>
      </c>
      <c r="L18" t="s">
        <v>15</v>
      </c>
      <c r="M18">
        <v>90</v>
      </c>
      <c r="N18" t="s">
        <v>26</v>
      </c>
      <c r="O18">
        <v>1.75</v>
      </c>
      <c r="P18">
        <f>YEAR(movie[[#This Row],[Date]])</f>
        <v>2023</v>
      </c>
    </row>
    <row r="19" spans="1:16" x14ac:dyDescent="0.3">
      <c r="A19" t="s">
        <v>61</v>
      </c>
      <c r="B19" s="1">
        <v>45261</v>
      </c>
      <c r="C19" t="s">
        <v>128</v>
      </c>
      <c r="D19" t="s">
        <v>31</v>
      </c>
      <c r="E19" t="s">
        <v>62</v>
      </c>
      <c r="F19" t="s">
        <v>63</v>
      </c>
      <c r="G19" t="s">
        <v>124</v>
      </c>
      <c r="H19">
        <v>200</v>
      </c>
      <c r="I19">
        <v>600</v>
      </c>
      <c r="J19">
        <v>900</v>
      </c>
      <c r="K19">
        <v>300</v>
      </c>
      <c r="L19" t="s">
        <v>25</v>
      </c>
      <c r="M19">
        <v>85</v>
      </c>
      <c r="N19" t="s">
        <v>16</v>
      </c>
      <c r="O19">
        <v>3</v>
      </c>
      <c r="P19">
        <f>YEAR(movie[[#This Row],[Date]])</f>
        <v>2023</v>
      </c>
    </row>
    <row r="20" spans="1:16" x14ac:dyDescent="0.3">
      <c r="A20" t="s">
        <v>64</v>
      </c>
      <c r="B20" s="1">
        <v>43552</v>
      </c>
      <c r="C20" t="s">
        <v>139</v>
      </c>
      <c r="D20" t="s">
        <v>65</v>
      </c>
      <c r="E20" t="s">
        <v>66</v>
      </c>
      <c r="F20" t="s">
        <v>67</v>
      </c>
      <c r="G20" t="s">
        <v>124</v>
      </c>
      <c r="H20">
        <v>30</v>
      </c>
      <c r="I20">
        <v>130</v>
      </c>
      <c r="J20">
        <v>200</v>
      </c>
      <c r="K20">
        <v>70</v>
      </c>
      <c r="L20" t="s">
        <v>15</v>
      </c>
      <c r="M20">
        <v>95</v>
      </c>
      <c r="N20" t="s">
        <v>26</v>
      </c>
      <c r="O20">
        <v>4.333333333333333</v>
      </c>
      <c r="P20">
        <f>YEAR(movie[[#This Row],[Date]])</f>
        <v>2019</v>
      </c>
    </row>
    <row r="21" spans="1:16" x14ac:dyDescent="0.3">
      <c r="A21" t="s">
        <v>68</v>
      </c>
      <c r="B21" s="1">
        <v>42650</v>
      </c>
      <c r="C21" t="s">
        <v>139</v>
      </c>
      <c r="D21" t="s">
        <v>65</v>
      </c>
      <c r="E21" t="s">
        <v>69</v>
      </c>
      <c r="F21" t="s">
        <v>67</v>
      </c>
      <c r="G21" t="s">
        <v>18</v>
      </c>
      <c r="H21">
        <v>25</v>
      </c>
      <c r="I21">
        <v>100</v>
      </c>
      <c r="J21">
        <v>150</v>
      </c>
      <c r="K21">
        <v>50</v>
      </c>
      <c r="L21" t="s">
        <v>29</v>
      </c>
      <c r="M21">
        <v>80</v>
      </c>
      <c r="N21" t="s">
        <v>37</v>
      </c>
      <c r="O21">
        <v>4</v>
      </c>
      <c r="P21">
        <f>YEAR(movie[[#This Row],[Date]])</f>
        <v>2016</v>
      </c>
    </row>
    <row r="22" spans="1:16" x14ac:dyDescent="0.3">
      <c r="A22" t="s">
        <v>51</v>
      </c>
      <c r="B22" s="1">
        <v>44246</v>
      </c>
      <c r="C22" t="s">
        <v>139</v>
      </c>
      <c r="D22" t="s">
        <v>65</v>
      </c>
      <c r="E22" t="s">
        <v>70</v>
      </c>
      <c r="F22" t="s">
        <v>67</v>
      </c>
      <c r="G22" t="s">
        <v>53</v>
      </c>
      <c r="H22">
        <v>50</v>
      </c>
      <c r="I22">
        <v>250</v>
      </c>
      <c r="J22">
        <v>300</v>
      </c>
      <c r="K22">
        <v>50</v>
      </c>
      <c r="L22" t="s">
        <v>25</v>
      </c>
      <c r="M22">
        <v>75</v>
      </c>
      <c r="N22" t="s">
        <v>37</v>
      </c>
      <c r="O22">
        <v>5</v>
      </c>
      <c r="P22">
        <f>YEAR(movie[[#This Row],[Date]])</f>
        <v>2021</v>
      </c>
    </row>
    <row r="23" spans="1:16" x14ac:dyDescent="0.3">
      <c r="A23" t="s">
        <v>71</v>
      </c>
      <c r="B23" s="1">
        <v>42153</v>
      </c>
      <c r="C23" t="s">
        <v>139</v>
      </c>
      <c r="D23" t="s">
        <v>65</v>
      </c>
      <c r="E23" t="s">
        <v>72</v>
      </c>
      <c r="F23" t="s">
        <v>73</v>
      </c>
      <c r="G23" t="s">
        <v>140</v>
      </c>
      <c r="H23">
        <v>10</v>
      </c>
      <c r="I23">
        <v>60</v>
      </c>
      <c r="J23">
        <v>75</v>
      </c>
      <c r="K23">
        <v>15</v>
      </c>
      <c r="L23" t="s">
        <v>15</v>
      </c>
      <c r="M23">
        <v>120</v>
      </c>
      <c r="N23" t="s">
        <v>16</v>
      </c>
      <c r="O23">
        <v>6</v>
      </c>
      <c r="P23">
        <f>YEAR(movie[[#This Row],[Date]])</f>
        <v>2015</v>
      </c>
    </row>
    <row r="24" spans="1:16" x14ac:dyDescent="0.3">
      <c r="A24" t="s">
        <v>74</v>
      </c>
      <c r="B24" s="1">
        <v>44554</v>
      </c>
      <c r="C24" t="s">
        <v>139</v>
      </c>
      <c r="D24" t="s">
        <v>65</v>
      </c>
      <c r="E24" t="s">
        <v>75</v>
      </c>
      <c r="F24" t="s">
        <v>76</v>
      </c>
      <c r="G24" t="s">
        <v>141</v>
      </c>
      <c r="H24">
        <v>18</v>
      </c>
      <c r="I24">
        <v>50</v>
      </c>
      <c r="J24">
        <v>70</v>
      </c>
      <c r="K24">
        <v>20</v>
      </c>
      <c r="L24" t="s">
        <v>29</v>
      </c>
      <c r="M24">
        <v>65</v>
      </c>
      <c r="N24" t="s">
        <v>16</v>
      </c>
      <c r="O24">
        <v>2.7777777777777777</v>
      </c>
      <c r="P24">
        <f>YEAR(movie[[#This Row],[Date]])</f>
        <v>2021</v>
      </c>
    </row>
    <row r="25" spans="1:16" x14ac:dyDescent="0.3">
      <c r="A25" t="s">
        <v>77</v>
      </c>
      <c r="B25" s="1">
        <v>45051</v>
      </c>
      <c r="C25" t="s">
        <v>139</v>
      </c>
      <c r="D25" t="s">
        <v>65</v>
      </c>
      <c r="E25" t="s">
        <v>78</v>
      </c>
      <c r="F25" t="s">
        <v>142</v>
      </c>
      <c r="G25" t="s">
        <v>35</v>
      </c>
      <c r="H25">
        <v>30</v>
      </c>
      <c r="I25">
        <v>200</v>
      </c>
      <c r="J25">
        <v>250</v>
      </c>
      <c r="K25">
        <v>50</v>
      </c>
      <c r="L25" t="s">
        <v>15</v>
      </c>
      <c r="M25">
        <v>100</v>
      </c>
      <c r="N25" t="s">
        <v>79</v>
      </c>
      <c r="O25">
        <v>6.666666666666667</v>
      </c>
      <c r="P25">
        <f>YEAR(movie[[#This Row],[Date]])</f>
        <v>2023</v>
      </c>
    </row>
    <row r="26" spans="1:16" x14ac:dyDescent="0.3">
      <c r="A26" t="s">
        <v>80</v>
      </c>
      <c r="B26" s="1">
        <v>44623</v>
      </c>
      <c r="C26" t="s">
        <v>139</v>
      </c>
      <c r="D26" t="s">
        <v>65</v>
      </c>
      <c r="E26" t="s">
        <v>81</v>
      </c>
      <c r="F26" t="s">
        <v>82</v>
      </c>
      <c r="G26" t="s">
        <v>124</v>
      </c>
      <c r="H26">
        <v>20</v>
      </c>
      <c r="I26">
        <v>90</v>
      </c>
      <c r="J26">
        <v>115</v>
      </c>
      <c r="K26">
        <v>25</v>
      </c>
      <c r="L26" t="s">
        <v>29</v>
      </c>
      <c r="M26">
        <v>70</v>
      </c>
      <c r="N26" t="s">
        <v>37</v>
      </c>
      <c r="O26">
        <v>4.5</v>
      </c>
      <c r="P26">
        <f>YEAR(movie[[#This Row],[Date]])</f>
        <v>2022</v>
      </c>
    </row>
    <row r="27" spans="1:16" x14ac:dyDescent="0.3">
      <c r="A27" t="s">
        <v>83</v>
      </c>
      <c r="B27" s="1">
        <v>44512</v>
      </c>
      <c r="C27" t="s">
        <v>139</v>
      </c>
      <c r="D27" t="s">
        <v>65</v>
      </c>
      <c r="E27" t="s">
        <v>84</v>
      </c>
      <c r="F27" t="s">
        <v>85</v>
      </c>
      <c r="G27" t="s">
        <v>143</v>
      </c>
      <c r="H27">
        <v>35</v>
      </c>
      <c r="I27">
        <v>80</v>
      </c>
      <c r="J27">
        <v>100</v>
      </c>
      <c r="K27">
        <v>20</v>
      </c>
      <c r="L27" t="s">
        <v>29</v>
      </c>
      <c r="M27">
        <v>60</v>
      </c>
      <c r="N27" t="s">
        <v>16</v>
      </c>
      <c r="O27">
        <v>2.2857142857142856</v>
      </c>
      <c r="P27">
        <f>YEAR(movie[[#This Row],[Date]])</f>
        <v>2021</v>
      </c>
    </row>
    <row r="28" spans="1:16" x14ac:dyDescent="0.3">
      <c r="A28" t="s">
        <v>86</v>
      </c>
      <c r="B28" s="1">
        <v>45393</v>
      </c>
      <c r="C28" t="s">
        <v>139</v>
      </c>
      <c r="D28" t="s">
        <v>65</v>
      </c>
      <c r="E28" t="s">
        <v>87</v>
      </c>
      <c r="F28" t="s">
        <v>88</v>
      </c>
      <c r="G28" t="s">
        <v>144</v>
      </c>
      <c r="H28">
        <v>25</v>
      </c>
      <c r="I28">
        <v>120</v>
      </c>
      <c r="J28">
        <v>150</v>
      </c>
      <c r="K28">
        <v>30</v>
      </c>
      <c r="L28" t="s">
        <v>15</v>
      </c>
      <c r="M28">
        <v>85</v>
      </c>
      <c r="N28" t="s">
        <v>26</v>
      </c>
      <c r="O28">
        <v>4.8</v>
      </c>
      <c r="P28">
        <f>YEAR(movie[[#This Row],[Date]])</f>
        <v>2024</v>
      </c>
    </row>
    <row r="29" spans="1:16" x14ac:dyDescent="0.3">
      <c r="A29" t="s">
        <v>89</v>
      </c>
      <c r="B29" s="1">
        <v>45163</v>
      </c>
      <c r="C29" t="s">
        <v>139</v>
      </c>
      <c r="D29" t="s">
        <v>65</v>
      </c>
      <c r="E29" t="s">
        <v>90</v>
      </c>
      <c r="F29" t="s">
        <v>145</v>
      </c>
      <c r="G29" t="s">
        <v>18</v>
      </c>
      <c r="H29">
        <v>20</v>
      </c>
      <c r="I29">
        <v>85</v>
      </c>
      <c r="J29">
        <v>100</v>
      </c>
      <c r="K29">
        <v>15</v>
      </c>
      <c r="L29" t="s">
        <v>29</v>
      </c>
      <c r="M29">
        <v>70</v>
      </c>
      <c r="N29" t="s">
        <v>16</v>
      </c>
      <c r="O29">
        <v>4.25</v>
      </c>
      <c r="P29">
        <f>YEAR(movie[[#This Row],[Date]])</f>
        <v>2023</v>
      </c>
    </row>
    <row r="30" spans="1:16" x14ac:dyDescent="0.3">
      <c r="A30" t="s">
        <v>91</v>
      </c>
      <c r="B30" s="1">
        <v>44392</v>
      </c>
      <c r="C30" t="s">
        <v>139</v>
      </c>
      <c r="D30" t="s">
        <v>65</v>
      </c>
      <c r="E30" t="s">
        <v>92</v>
      </c>
      <c r="F30" t="s">
        <v>88</v>
      </c>
      <c r="G30" t="s">
        <v>35</v>
      </c>
      <c r="H30">
        <v>25</v>
      </c>
      <c r="I30">
        <v>60</v>
      </c>
      <c r="J30">
        <v>75</v>
      </c>
      <c r="K30">
        <v>15</v>
      </c>
      <c r="L30" t="s">
        <v>56</v>
      </c>
      <c r="M30">
        <v>55</v>
      </c>
      <c r="N30" t="s">
        <v>26</v>
      </c>
      <c r="O30">
        <v>2.4</v>
      </c>
      <c r="P30">
        <f>YEAR(movie[[#This Row],[Date]])</f>
        <v>2021</v>
      </c>
    </row>
    <row r="31" spans="1:16" x14ac:dyDescent="0.3">
      <c r="A31" t="s">
        <v>93</v>
      </c>
      <c r="B31" s="1">
        <v>43503</v>
      </c>
      <c r="C31" t="s">
        <v>139</v>
      </c>
      <c r="D31" t="s">
        <v>65</v>
      </c>
      <c r="E31" t="s">
        <v>94</v>
      </c>
      <c r="F31" t="s">
        <v>146</v>
      </c>
      <c r="G31" t="s">
        <v>35</v>
      </c>
      <c r="H31">
        <v>8</v>
      </c>
      <c r="I31">
        <v>50</v>
      </c>
      <c r="J31">
        <v>65</v>
      </c>
      <c r="K31">
        <v>15</v>
      </c>
      <c r="L31" t="s">
        <v>15</v>
      </c>
      <c r="M31">
        <v>95</v>
      </c>
      <c r="N31" t="s">
        <v>26</v>
      </c>
      <c r="O31">
        <v>6.25</v>
      </c>
      <c r="P31">
        <f>YEAR(movie[[#This Row],[Date]])</f>
        <v>2019</v>
      </c>
    </row>
    <row r="32" spans="1:16" x14ac:dyDescent="0.3">
      <c r="A32" t="s">
        <v>95</v>
      </c>
      <c r="B32" s="1">
        <v>44582</v>
      </c>
      <c r="C32" t="s">
        <v>139</v>
      </c>
      <c r="D32" t="s">
        <v>65</v>
      </c>
      <c r="E32" t="s">
        <v>96</v>
      </c>
      <c r="F32" t="s">
        <v>97</v>
      </c>
      <c r="G32" t="s">
        <v>140</v>
      </c>
      <c r="H32">
        <v>15</v>
      </c>
      <c r="I32">
        <v>60</v>
      </c>
      <c r="J32">
        <v>80</v>
      </c>
      <c r="K32">
        <v>20</v>
      </c>
      <c r="L32" t="s">
        <v>29</v>
      </c>
      <c r="M32">
        <v>75</v>
      </c>
      <c r="N32" t="s">
        <v>37</v>
      </c>
      <c r="O32">
        <v>4</v>
      </c>
      <c r="P32">
        <f>YEAR(movie[[#This Row],[Date]])</f>
        <v>2022</v>
      </c>
    </row>
    <row r="33" spans="1:16" x14ac:dyDescent="0.3">
      <c r="A33" t="s">
        <v>98</v>
      </c>
      <c r="B33" s="1">
        <v>43819</v>
      </c>
      <c r="C33" t="s">
        <v>139</v>
      </c>
      <c r="D33" t="s">
        <v>65</v>
      </c>
      <c r="E33" t="s">
        <v>99</v>
      </c>
      <c r="F33" t="s">
        <v>147</v>
      </c>
      <c r="G33" t="s">
        <v>35</v>
      </c>
      <c r="H33">
        <v>12</v>
      </c>
      <c r="I33">
        <v>55</v>
      </c>
      <c r="J33">
        <v>70</v>
      </c>
      <c r="K33">
        <v>15</v>
      </c>
      <c r="L33" t="s">
        <v>29</v>
      </c>
      <c r="M33">
        <v>70</v>
      </c>
      <c r="N33" t="s">
        <v>26</v>
      </c>
      <c r="O33">
        <v>4.583333333333333</v>
      </c>
      <c r="P33">
        <f>YEAR(movie[[#This Row],[Date]])</f>
        <v>2019</v>
      </c>
    </row>
    <row r="34" spans="1:16" x14ac:dyDescent="0.3">
      <c r="A34" t="s">
        <v>100</v>
      </c>
      <c r="B34" s="1">
        <v>45162</v>
      </c>
      <c r="C34" t="s">
        <v>139</v>
      </c>
      <c r="D34" t="s">
        <v>65</v>
      </c>
      <c r="E34" t="s">
        <v>101</v>
      </c>
      <c r="F34" t="s">
        <v>85</v>
      </c>
      <c r="G34" t="s">
        <v>18</v>
      </c>
      <c r="H34">
        <v>50</v>
      </c>
      <c r="I34">
        <v>45</v>
      </c>
      <c r="J34">
        <v>70</v>
      </c>
      <c r="K34">
        <v>25</v>
      </c>
      <c r="L34" t="s">
        <v>102</v>
      </c>
      <c r="M34">
        <v>45</v>
      </c>
      <c r="N34" t="s">
        <v>37</v>
      </c>
      <c r="O34">
        <v>0.9</v>
      </c>
      <c r="P34">
        <f>YEAR(movie[[#This Row],[Date]])</f>
        <v>2023</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2B16E-83CE-4CDB-8325-E84BB44CE933}">
  <dimension ref="A1:O52"/>
  <sheetViews>
    <sheetView topLeftCell="D1" workbookViewId="0">
      <selection activeCell="S6" sqref="S6"/>
    </sheetView>
  </sheetViews>
  <sheetFormatPr defaultRowHeight="14.4" x14ac:dyDescent="0.3"/>
  <cols>
    <col min="1" max="1" width="16.109375" bestFit="1" customWidth="1"/>
    <col min="2" max="2" width="10.33203125" bestFit="1" customWidth="1"/>
    <col min="3" max="3" width="13.33203125" bestFit="1" customWidth="1"/>
    <col min="4" max="4" width="11.33203125" bestFit="1" customWidth="1"/>
    <col min="5" max="5" width="18" bestFit="1" customWidth="1"/>
    <col min="6" max="6" width="15.6640625" bestFit="1" customWidth="1"/>
    <col min="7" max="7" width="12" bestFit="1" customWidth="1"/>
    <col min="8" max="8" width="14.21875" bestFit="1" customWidth="1"/>
    <col min="9" max="9" width="20.88671875" bestFit="1" customWidth="1"/>
    <col min="10" max="10" width="13.5546875" bestFit="1" customWidth="1"/>
    <col min="11" max="11" width="16.6640625" bestFit="1" customWidth="1"/>
    <col min="12" max="12" width="11.5546875" bestFit="1" customWidth="1"/>
    <col min="13" max="13" width="14.88671875" bestFit="1" customWidth="1"/>
    <col min="14" max="14" width="12" bestFit="1" customWidth="1"/>
    <col min="15" max="15" width="17.88671875" bestFit="1" customWidth="1"/>
  </cols>
  <sheetData>
    <row r="1" spans="1:15" x14ac:dyDescent="0.3">
      <c r="A1" t="s">
        <v>0</v>
      </c>
      <c r="B1" t="s">
        <v>121</v>
      </c>
      <c r="C1" t="s">
        <v>1</v>
      </c>
      <c r="D1" t="s">
        <v>2</v>
      </c>
      <c r="E1" t="s">
        <v>3</v>
      </c>
      <c r="F1" t="s">
        <v>5</v>
      </c>
      <c r="G1" t="s">
        <v>6</v>
      </c>
      <c r="H1" t="s">
        <v>7</v>
      </c>
      <c r="I1" t="s">
        <v>8</v>
      </c>
      <c r="J1" t="s">
        <v>9</v>
      </c>
      <c r="K1" t="s">
        <v>10</v>
      </c>
      <c r="L1" t="s">
        <v>11</v>
      </c>
      <c r="M1" t="s">
        <v>12</v>
      </c>
      <c r="N1" t="s">
        <v>148</v>
      </c>
      <c r="O1" t="s">
        <v>103</v>
      </c>
    </row>
    <row r="2" spans="1:15" x14ac:dyDescent="0.3">
      <c r="A2" t="s">
        <v>13</v>
      </c>
      <c r="B2" s="1">
        <v>42284</v>
      </c>
      <c r="C2" t="s">
        <v>122</v>
      </c>
      <c r="D2" t="s">
        <v>14</v>
      </c>
      <c r="E2" t="s">
        <v>17</v>
      </c>
      <c r="F2" t="s">
        <v>18</v>
      </c>
      <c r="G2">
        <v>175</v>
      </c>
      <c r="H2">
        <v>410</v>
      </c>
      <c r="I2">
        <v>640</v>
      </c>
      <c r="J2">
        <v>220</v>
      </c>
      <c r="K2" t="s">
        <v>15</v>
      </c>
      <c r="L2">
        <v>95</v>
      </c>
      <c r="M2" t="s">
        <v>19</v>
      </c>
      <c r="N2">
        <v>2.342857142857143</v>
      </c>
      <c r="O2" t="s">
        <v>105</v>
      </c>
    </row>
    <row r="3" spans="1:15" x14ac:dyDescent="0.3">
      <c r="A3" t="s">
        <v>13</v>
      </c>
      <c r="B3" s="1">
        <v>42284</v>
      </c>
      <c r="C3" t="s">
        <v>122</v>
      </c>
      <c r="D3" t="s">
        <v>14</v>
      </c>
      <c r="E3" t="s">
        <v>17</v>
      </c>
      <c r="F3" t="s">
        <v>18</v>
      </c>
      <c r="G3">
        <v>175</v>
      </c>
      <c r="H3">
        <v>410</v>
      </c>
      <c r="I3">
        <v>640</v>
      </c>
      <c r="J3">
        <v>220</v>
      </c>
      <c r="K3" t="s">
        <v>15</v>
      </c>
      <c r="L3">
        <v>95</v>
      </c>
      <c r="M3" t="s">
        <v>19</v>
      </c>
      <c r="N3">
        <v>2.342857142857143</v>
      </c>
      <c r="O3" t="s">
        <v>153</v>
      </c>
    </row>
    <row r="4" spans="1:15" x14ac:dyDescent="0.3">
      <c r="A4" t="s">
        <v>150</v>
      </c>
      <c r="B4" s="1">
        <v>44645</v>
      </c>
      <c r="C4" t="s">
        <v>122</v>
      </c>
      <c r="D4" t="s">
        <v>14</v>
      </c>
      <c r="E4" t="s">
        <v>21</v>
      </c>
      <c r="F4" t="s">
        <v>194</v>
      </c>
      <c r="G4">
        <v>550</v>
      </c>
      <c r="H4">
        <v>900</v>
      </c>
      <c r="I4">
        <v>1200</v>
      </c>
      <c r="J4">
        <v>300</v>
      </c>
      <c r="K4" t="s">
        <v>15</v>
      </c>
      <c r="L4">
        <v>120</v>
      </c>
      <c r="M4" t="s">
        <v>16</v>
      </c>
      <c r="N4">
        <v>1.6363636363636365</v>
      </c>
      <c r="O4" t="s">
        <v>120</v>
      </c>
    </row>
    <row r="5" spans="1:15" x14ac:dyDescent="0.3">
      <c r="A5" t="s">
        <v>150</v>
      </c>
      <c r="B5" s="1">
        <v>44645</v>
      </c>
      <c r="C5" t="s">
        <v>122</v>
      </c>
      <c r="D5" t="s">
        <v>14</v>
      </c>
      <c r="E5" t="s">
        <v>21</v>
      </c>
      <c r="F5" t="s">
        <v>194</v>
      </c>
      <c r="G5">
        <v>550</v>
      </c>
      <c r="H5">
        <v>900</v>
      </c>
      <c r="I5">
        <v>1200</v>
      </c>
      <c r="J5">
        <v>300</v>
      </c>
      <c r="K5" t="s">
        <v>15</v>
      </c>
      <c r="L5">
        <v>120</v>
      </c>
      <c r="M5" t="s">
        <v>16</v>
      </c>
      <c r="N5">
        <v>1.6363636363636365</v>
      </c>
      <c r="O5" t="s">
        <v>119</v>
      </c>
    </row>
    <row r="6" spans="1:15" x14ac:dyDescent="0.3">
      <c r="A6" t="s">
        <v>151</v>
      </c>
      <c r="B6" s="1">
        <v>44665</v>
      </c>
      <c r="C6" t="s">
        <v>125</v>
      </c>
      <c r="D6" t="s">
        <v>23</v>
      </c>
      <c r="E6" t="s">
        <v>24</v>
      </c>
      <c r="F6" t="s">
        <v>18</v>
      </c>
      <c r="G6">
        <v>100</v>
      </c>
      <c r="H6">
        <v>800</v>
      </c>
      <c r="I6">
        <v>1200</v>
      </c>
      <c r="J6">
        <v>400</v>
      </c>
      <c r="K6" t="s">
        <v>25</v>
      </c>
      <c r="L6">
        <v>110</v>
      </c>
      <c r="M6" t="s">
        <v>26</v>
      </c>
      <c r="N6">
        <v>8</v>
      </c>
      <c r="O6" t="s">
        <v>44</v>
      </c>
    </row>
    <row r="7" spans="1:15" x14ac:dyDescent="0.3">
      <c r="A7" t="s">
        <v>151</v>
      </c>
      <c r="B7" s="1">
        <v>44665</v>
      </c>
      <c r="C7" t="s">
        <v>125</v>
      </c>
      <c r="D7" t="s">
        <v>23</v>
      </c>
      <c r="E7" t="s">
        <v>24</v>
      </c>
      <c r="F7" t="s">
        <v>18</v>
      </c>
      <c r="G7">
        <v>100</v>
      </c>
      <c r="H7">
        <v>800</v>
      </c>
      <c r="I7">
        <v>1200</v>
      </c>
      <c r="J7">
        <v>400</v>
      </c>
      <c r="K7" t="s">
        <v>25</v>
      </c>
      <c r="L7">
        <v>110</v>
      </c>
      <c r="M7" t="s">
        <v>26</v>
      </c>
      <c r="N7">
        <v>8</v>
      </c>
      <c r="O7" t="s">
        <v>154</v>
      </c>
    </row>
    <row r="8" spans="1:15" x14ac:dyDescent="0.3">
      <c r="A8" t="s">
        <v>27</v>
      </c>
      <c r="B8" s="1">
        <v>44547</v>
      </c>
      <c r="C8" t="s">
        <v>122</v>
      </c>
      <c r="D8" t="s">
        <v>14</v>
      </c>
      <c r="E8" t="s">
        <v>28</v>
      </c>
      <c r="F8" t="s">
        <v>194</v>
      </c>
      <c r="G8">
        <v>150</v>
      </c>
      <c r="H8">
        <v>350</v>
      </c>
      <c r="I8">
        <v>500</v>
      </c>
      <c r="J8">
        <v>150</v>
      </c>
      <c r="K8" t="s">
        <v>29</v>
      </c>
      <c r="L8">
        <v>90</v>
      </c>
      <c r="M8" t="s">
        <v>19</v>
      </c>
      <c r="N8">
        <v>2.3333333333333335</v>
      </c>
      <c r="O8" t="s">
        <v>106</v>
      </c>
    </row>
    <row r="9" spans="1:15" x14ac:dyDescent="0.3">
      <c r="A9" t="s">
        <v>27</v>
      </c>
      <c r="B9" s="1">
        <v>44547</v>
      </c>
      <c r="C9" t="s">
        <v>122</v>
      </c>
      <c r="D9" t="s">
        <v>14</v>
      </c>
      <c r="E9" t="s">
        <v>28</v>
      </c>
      <c r="F9" t="s">
        <v>194</v>
      </c>
      <c r="G9">
        <v>150</v>
      </c>
      <c r="H9">
        <v>350</v>
      </c>
      <c r="I9">
        <v>500</v>
      </c>
      <c r="J9">
        <v>150</v>
      </c>
      <c r="K9" t="s">
        <v>29</v>
      </c>
      <c r="L9">
        <v>90</v>
      </c>
      <c r="M9" t="s">
        <v>19</v>
      </c>
      <c r="N9">
        <v>2.3333333333333335</v>
      </c>
      <c r="O9" t="s">
        <v>155</v>
      </c>
    </row>
    <row r="10" spans="1:15" x14ac:dyDescent="0.3">
      <c r="A10" t="s">
        <v>30</v>
      </c>
      <c r="B10" s="1">
        <v>45176</v>
      </c>
      <c r="C10" t="s">
        <v>128</v>
      </c>
      <c r="D10" t="s">
        <v>31</v>
      </c>
      <c r="E10" t="s">
        <v>32</v>
      </c>
      <c r="F10" t="s">
        <v>18</v>
      </c>
      <c r="G10">
        <v>300</v>
      </c>
      <c r="H10">
        <v>640</v>
      </c>
      <c r="I10">
        <v>1100</v>
      </c>
      <c r="J10">
        <v>460</v>
      </c>
      <c r="K10" t="s">
        <v>15</v>
      </c>
      <c r="L10">
        <v>85</v>
      </c>
      <c r="M10" t="s">
        <v>16</v>
      </c>
      <c r="N10">
        <v>2.1333333333333333</v>
      </c>
      <c r="O10" t="s">
        <v>107</v>
      </c>
    </row>
    <row r="11" spans="1:15" x14ac:dyDescent="0.3">
      <c r="A11" t="s">
        <v>30</v>
      </c>
      <c r="B11" s="1">
        <v>45176</v>
      </c>
      <c r="C11" t="s">
        <v>128</v>
      </c>
      <c r="D11" t="s">
        <v>31</v>
      </c>
      <c r="E11" t="s">
        <v>32</v>
      </c>
      <c r="F11" t="s">
        <v>18</v>
      </c>
      <c r="G11">
        <v>300</v>
      </c>
      <c r="H11">
        <v>640</v>
      </c>
      <c r="I11">
        <v>1100</v>
      </c>
      <c r="J11">
        <v>460</v>
      </c>
      <c r="K11" t="s">
        <v>15</v>
      </c>
      <c r="L11">
        <v>85</v>
      </c>
      <c r="M11" t="s">
        <v>16</v>
      </c>
      <c r="N11">
        <v>2.1333333333333333</v>
      </c>
      <c r="O11" t="s">
        <v>156</v>
      </c>
    </row>
    <row r="12" spans="1:15" x14ac:dyDescent="0.3">
      <c r="A12" t="s">
        <v>33</v>
      </c>
      <c r="B12" s="1">
        <v>42727</v>
      </c>
      <c r="C12" t="s">
        <v>128</v>
      </c>
      <c r="D12" t="s">
        <v>31</v>
      </c>
      <c r="E12" t="s">
        <v>34</v>
      </c>
      <c r="F12" t="s">
        <v>35</v>
      </c>
      <c r="G12">
        <v>70</v>
      </c>
      <c r="H12">
        <v>387</v>
      </c>
      <c r="I12">
        <v>2000</v>
      </c>
      <c r="J12">
        <v>1600</v>
      </c>
      <c r="K12" t="s">
        <v>36</v>
      </c>
      <c r="L12">
        <v>150</v>
      </c>
      <c r="M12" t="s">
        <v>37</v>
      </c>
      <c r="N12">
        <v>5.5285714285714285</v>
      </c>
      <c r="O12" t="s">
        <v>108</v>
      </c>
    </row>
    <row r="13" spans="1:15" x14ac:dyDescent="0.3">
      <c r="A13" t="s">
        <v>33</v>
      </c>
      <c r="B13" s="1">
        <v>42727</v>
      </c>
      <c r="C13" t="s">
        <v>128</v>
      </c>
      <c r="D13" t="s">
        <v>31</v>
      </c>
      <c r="E13" t="s">
        <v>34</v>
      </c>
      <c r="F13" t="s">
        <v>35</v>
      </c>
      <c r="G13">
        <v>70</v>
      </c>
      <c r="H13">
        <v>387</v>
      </c>
      <c r="I13">
        <v>2000</v>
      </c>
      <c r="J13">
        <v>1600</v>
      </c>
      <c r="K13" t="s">
        <v>36</v>
      </c>
      <c r="L13">
        <v>150</v>
      </c>
      <c r="M13" t="s">
        <v>37</v>
      </c>
      <c r="N13">
        <v>5.5285714285714285</v>
      </c>
      <c r="O13" t="s">
        <v>157</v>
      </c>
    </row>
    <row r="14" spans="1:15" x14ac:dyDescent="0.3">
      <c r="A14" t="s">
        <v>38</v>
      </c>
      <c r="B14" s="1">
        <v>45218</v>
      </c>
      <c r="C14" t="s">
        <v>131</v>
      </c>
      <c r="D14" t="s">
        <v>39</v>
      </c>
      <c r="E14" t="s">
        <v>40</v>
      </c>
      <c r="F14" t="s">
        <v>18</v>
      </c>
      <c r="G14">
        <v>250</v>
      </c>
      <c r="H14">
        <v>350</v>
      </c>
      <c r="I14">
        <v>600</v>
      </c>
      <c r="J14">
        <v>250</v>
      </c>
      <c r="K14" t="s">
        <v>29</v>
      </c>
      <c r="L14">
        <v>80</v>
      </c>
      <c r="M14" t="s">
        <v>16</v>
      </c>
      <c r="N14">
        <v>1.4</v>
      </c>
      <c r="O14" t="s">
        <v>109</v>
      </c>
    </row>
    <row r="15" spans="1:15" x14ac:dyDescent="0.3">
      <c r="A15" t="s">
        <v>38</v>
      </c>
      <c r="B15" s="1">
        <v>45218</v>
      </c>
      <c r="C15" t="s">
        <v>131</v>
      </c>
      <c r="D15" t="s">
        <v>39</v>
      </c>
      <c r="E15" t="s">
        <v>40</v>
      </c>
      <c r="F15" t="s">
        <v>18</v>
      </c>
      <c r="G15">
        <v>250</v>
      </c>
      <c r="H15">
        <v>350</v>
      </c>
      <c r="I15">
        <v>600</v>
      </c>
      <c r="J15">
        <v>250</v>
      </c>
      <c r="K15" t="s">
        <v>29</v>
      </c>
      <c r="L15">
        <v>80</v>
      </c>
      <c r="M15" t="s">
        <v>16</v>
      </c>
      <c r="N15">
        <v>1.4</v>
      </c>
      <c r="O15" t="s">
        <v>158</v>
      </c>
    </row>
    <row r="16" spans="1:15" x14ac:dyDescent="0.3">
      <c r="A16" t="s">
        <v>41</v>
      </c>
      <c r="B16" s="1">
        <v>44626</v>
      </c>
      <c r="C16" t="s">
        <v>131</v>
      </c>
      <c r="D16" t="s">
        <v>39</v>
      </c>
      <c r="E16" t="s">
        <v>42</v>
      </c>
      <c r="F16" t="s">
        <v>18</v>
      </c>
      <c r="G16">
        <v>120</v>
      </c>
      <c r="H16">
        <v>250</v>
      </c>
      <c r="I16">
        <v>450</v>
      </c>
      <c r="J16">
        <v>200</v>
      </c>
      <c r="K16" t="s">
        <v>15</v>
      </c>
      <c r="L16">
        <v>90</v>
      </c>
      <c r="M16" t="s">
        <v>37</v>
      </c>
      <c r="N16">
        <v>2.0833333333333335</v>
      </c>
      <c r="O16" t="s">
        <v>110</v>
      </c>
    </row>
    <row r="17" spans="1:15" x14ac:dyDescent="0.3">
      <c r="A17" t="s">
        <v>41</v>
      </c>
      <c r="B17" s="1">
        <v>44626</v>
      </c>
      <c r="C17" t="s">
        <v>131</v>
      </c>
      <c r="D17" t="s">
        <v>39</v>
      </c>
      <c r="E17" t="s">
        <v>42</v>
      </c>
      <c r="F17" t="s">
        <v>18</v>
      </c>
      <c r="G17">
        <v>120</v>
      </c>
      <c r="H17">
        <v>250</v>
      </c>
      <c r="I17">
        <v>450</v>
      </c>
      <c r="J17">
        <v>200</v>
      </c>
      <c r="K17" t="s">
        <v>15</v>
      </c>
      <c r="L17">
        <v>90</v>
      </c>
      <c r="M17" t="s">
        <v>37</v>
      </c>
      <c r="N17">
        <v>2.0833333333333335</v>
      </c>
      <c r="O17" t="s">
        <v>88</v>
      </c>
    </row>
    <row r="18" spans="1:15" x14ac:dyDescent="0.3">
      <c r="A18" t="s">
        <v>159</v>
      </c>
      <c r="B18" s="1">
        <v>43455</v>
      </c>
      <c r="C18" t="s">
        <v>125</v>
      </c>
      <c r="D18" t="s">
        <v>23</v>
      </c>
      <c r="E18" t="s">
        <v>24</v>
      </c>
      <c r="F18" t="s">
        <v>18</v>
      </c>
      <c r="G18">
        <v>80</v>
      </c>
      <c r="H18">
        <v>240</v>
      </c>
      <c r="I18">
        <v>400</v>
      </c>
      <c r="J18">
        <v>160</v>
      </c>
      <c r="K18" t="s">
        <v>29</v>
      </c>
      <c r="L18">
        <v>85</v>
      </c>
      <c r="M18" t="s">
        <v>26</v>
      </c>
      <c r="N18">
        <v>3</v>
      </c>
      <c r="O18" t="s">
        <v>44</v>
      </c>
    </row>
    <row r="19" spans="1:15" x14ac:dyDescent="0.3">
      <c r="A19" t="s">
        <v>45</v>
      </c>
      <c r="B19" s="1">
        <v>43506</v>
      </c>
      <c r="C19" t="s">
        <v>128</v>
      </c>
      <c r="D19" t="s">
        <v>31</v>
      </c>
      <c r="E19" t="s">
        <v>46</v>
      </c>
      <c r="F19" t="s">
        <v>18</v>
      </c>
      <c r="G19">
        <v>170</v>
      </c>
      <c r="H19">
        <v>300</v>
      </c>
      <c r="I19">
        <v>475</v>
      </c>
      <c r="J19">
        <v>175</v>
      </c>
      <c r="K19" t="s">
        <v>29</v>
      </c>
      <c r="L19">
        <v>70</v>
      </c>
      <c r="M19" t="s">
        <v>26</v>
      </c>
      <c r="N19">
        <v>1.7647058823529411</v>
      </c>
      <c r="O19" t="s">
        <v>113</v>
      </c>
    </row>
    <row r="20" spans="1:15" x14ac:dyDescent="0.3">
      <c r="A20" t="s">
        <v>45</v>
      </c>
      <c r="B20" s="1">
        <v>43506</v>
      </c>
      <c r="C20" t="s">
        <v>128</v>
      </c>
      <c r="D20" t="s">
        <v>31</v>
      </c>
      <c r="E20" t="s">
        <v>46</v>
      </c>
      <c r="F20" t="s">
        <v>18</v>
      </c>
      <c r="G20">
        <v>170</v>
      </c>
      <c r="H20">
        <v>300</v>
      </c>
      <c r="I20">
        <v>475</v>
      </c>
      <c r="J20">
        <v>175</v>
      </c>
      <c r="K20" t="s">
        <v>29</v>
      </c>
      <c r="L20">
        <v>70</v>
      </c>
      <c r="M20" t="s">
        <v>26</v>
      </c>
      <c r="N20">
        <v>1.7647058823529411</v>
      </c>
      <c r="O20" t="s">
        <v>160</v>
      </c>
    </row>
    <row r="21" spans="1:15" x14ac:dyDescent="0.3">
      <c r="A21" t="s">
        <v>47</v>
      </c>
      <c r="B21" s="1">
        <v>44951</v>
      </c>
      <c r="C21" t="s">
        <v>128</v>
      </c>
      <c r="D21" t="s">
        <v>31</v>
      </c>
      <c r="E21" t="s">
        <v>46</v>
      </c>
      <c r="F21" t="s">
        <v>18</v>
      </c>
      <c r="G21">
        <v>250</v>
      </c>
      <c r="H21">
        <v>540</v>
      </c>
      <c r="I21">
        <v>1050</v>
      </c>
      <c r="J21">
        <v>510</v>
      </c>
      <c r="K21" t="s">
        <v>15</v>
      </c>
      <c r="L21">
        <v>95</v>
      </c>
      <c r="M21" t="s">
        <v>26</v>
      </c>
      <c r="N21">
        <v>2.16</v>
      </c>
      <c r="O21" t="s">
        <v>107</v>
      </c>
    </row>
    <row r="22" spans="1:15" x14ac:dyDescent="0.3">
      <c r="A22" t="s">
        <v>47</v>
      </c>
      <c r="B22" s="1">
        <v>44951</v>
      </c>
      <c r="C22" t="s">
        <v>128</v>
      </c>
      <c r="D22" t="s">
        <v>31</v>
      </c>
      <c r="E22" t="s">
        <v>46</v>
      </c>
      <c r="F22" t="s">
        <v>18</v>
      </c>
      <c r="G22">
        <v>250</v>
      </c>
      <c r="H22">
        <v>540</v>
      </c>
      <c r="I22">
        <v>1050</v>
      </c>
      <c r="J22">
        <v>510</v>
      </c>
      <c r="K22" t="s">
        <v>15</v>
      </c>
      <c r="L22">
        <v>95</v>
      </c>
      <c r="M22" t="s">
        <v>26</v>
      </c>
      <c r="N22">
        <v>2.16</v>
      </c>
      <c r="O22" t="s">
        <v>161</v>
      </c>
    </row>
    <row r="23" spans="1:15" x14ac:dyDescent="0.3">
      <c r="A23" t="s">
        <v>48</v>
      </c>
      <c r="B23" s="1">
        <v>44209</v>
      </c>
      <c r="C23" t="s">
        <v>131</v>
      </c>
      <c r="D23" t="s">
        <v>39</v>
      </c>
      <c r="E23" t="s">
        <v>40</v>
      </c>
      <c r="F23" t="s">
        <v>18</v>
      </c>
      <c r="G23">
        <v>130</v>
      </c>
      <c r="H23">
        <v>240</v>
      </c>
      <c r="I23">
        <v>350</v>
      </c>
      <c r="J23">
        <v>110</v>
      </c>
      <c r="K23" t="s">
        <v>29</v>
      </c>
      <c r="L23">
        <v>60</v>
      </c>
      <c r="M23" t="s">
        <v>26</v>
      </c>
      <c r="N23">
        <v>1.8461538461538463</v>
      </c>
      <c r="O23" t="s">
        <v>109</v>
      </c>
    </row>
    <row r="24" spans="1:15" x14ac:dyDescent="0.3">
      <c r="A24" t="s">
        <v>48</v>
      </c>
      <c r="B24" s="1">
        <v>44209</v>
      </c>
      <c r="C24" t="s">
        <v>131</v>
      </c>
      <c r="D24" t="s">
        <v>39</v>
      </c>
      <c r="E24" t="s">
        <v>40</v>
      </c>
      <c r="F24" t="s">
        <v>18</v>
      </c>
      <c r="G24">
        <v>130</v>
      </c>
      <c r="H24">
        <v>240</v>
      </c>
      <c r="I24">
        <v>350</v>
      </c>
      <c r="J24">
        <v>110</v>
      </c>
      <c r="K24" t="s">
        <v>29</v>
      </c>
      <c r="L24">
        <v>60</v>
      </c>
      <c r="M24" t="s">
        <v>26</v>
      </c>
      <c r="N24">
        <v>1.8461538461538463</v>
      </c>
      <c r="O24" t="s">
        <v>162</v>
      </c>
    </row>
    <row r="25" spans="1:15" x14ac:dyDescent="0.3">
      <c r="A25" t="s">
        <v>49</v>
      </c>
      <c r="B25" s="1">
        <v>44834</v>
      </c>
      <c r="C25" t="s">
        <v>125</v>
      </c>
      <c r="D25" t="s">
        <v>23</v>
      </c>
      <c r="E25" t="s">
        <v>50</v>
      </c>
      <c r="F25" t="s">
        <v>35</v>
      </c>
      <c r="G25">
        <v>20</v>
      </c>
      <c r="H25">
        <v>300</v>
      </c>
      <c r="I25">
        <v>350</v>
      </c>
      <c r="J25">
        <v>50</v>
      </c>
      <c r="K25" t="s">
        <v>15</v>
      </c>
      <c r="L25">
        <v>120</v>
      </c>
      <c r="M25" t="s">
        <v>16</v>
      </c>
      <c r="N25">
        <v>15</v>
      </c>
      <c r="O25" t="s">
        <v>50</v>
      </c>
    </row>
    <row r="26" spans="1:15" x14ac:dyDescent="0.3">
      <c r="A26" t="s">
        <v>51</v>
      </c>
      <c r="B26" s="1">
        <v>44883</v>
      </c>
      <c r="C26" t="s">
        <v>128</v>
      </c>
      <c r="D26" t="s">
        <v>31</v>
      </c>
      <c r="E26" t="s">
        <v>52</v>
      </c>
      <c r="F26" t="s">
        <v>53</v>
      </c>
      <c r="G26">
        <v>50</v>
      </c>
      <c r="H26">
        <v>240</v>
      </c>
      <c r="I26">
        <v>350</v>
      </c>
      <c r="J26">
        <v>110</v>
      </c>
      <c r="K26" t="s">
        <v>29</v>
      </c>
      <c r="L26">
        <v>70</v>
      </c>
      <c r="M26" t="s">
        <v>37</v>
      </c>
      <c r="N26">
        <v>4.8</v>
      </c>
      <c r="O26" t="s">
        <v>112</v>
      </c>
    </row>
    <row r="27" spans="1:15" x14ac:dyDescent="0.3">
      <c r="A27" t="s">
        <v>51</v>
      </c>
      <c r="B27" s="1">
        <v>44883</v>
      </c>
      <c r="C27" t="s">
        <v>128</v>
      </c>
      <c r="D27" t="s">
        <v>31</v>
      </c>
      <c r="E27" t="s">
        <v>52</v>
      </c>
      <c r="F27" t="s">
        <v>53</v>
      </c>
      <c r="G27">
        <v>50</v>
      </c>
      <c r="H27">
        <v>240</v>
      </c>
      <c r="I27">
        <v>350</v>
      </c>
      <c r="J27">
        <v>110</v>
      </c>
      <c r="K27" t="s">
        <v>29</v>
      </c>
      <c r="L27">
        <v>70</v>
      </c>
      <c r="M27" t="s">
        <v>37</v>
      </c>
      <c r="N27">
        <v>4.8</v>
      </c>
      <c r="O27" t="s">
        <v>163</v>
      </c>
    </row>
    <row r="28" spans="1:15" x14ac:dyDescent="0.3">
      <c r="A28" t="s">
        <v>54</v>
      </c>
      <c r="B28" s="1">
        <v>45242</v>
      </c>
      <c r="C28" t="s">
        <v>128</v>
      </c>
      <c r="D28" t="s">
        <v>31</v>
      </c>
      <c r="E28" t="s">
        <v>55</v>
      </c>
      <c r="F28" t="s">
        <v>18</v>
      </c>
      <c r="G28">
        <v>300</v>
      </c>
      <c r="H28">
        <v>280</v>
      </c>
      <c r="I28">
        <v>450</v>
      </c>
      <c r="J28">
        <v>170</v>
      </c>
      <c r="K28" t="s">
        <v>56</v>
      </c>
      <c r="L28">
        <v>50</v>
      </c>
      <c r="M28" t="s">
        <v>26</v>
      </c>
      <c r="N28">
        <v>0.93333333333333335</v>
      </c>
      <c r="O28" t="s">
        <v>111</v>
      </c>
    </row>
    <row r="29" spans="1:15" x14ac:dyDescent="0.3">
      <c r="A29" t="s">
        <v>54</v>
      </c>
      <c r="B29" s="1">
        <v>45242</v>
      </c>
      <c r="C29" t="s">
        <v>128</v>
      </c>
      <c r="D29" t="s">
        <v>31</v>
      </c>
      <c r="E29" t="s">
        <v>55</v>
      </c>
      <c r="F29" t="s">
        <v>18</v>
      </c>
      <c r="G29">
        <v>300</v>
      </c>
      <c r="H29">
        <v>280</v>
      </c>
      <c r="I29">
        <v>450</v>
      </c>
      <c r="J29">
        <v>170</v>
      </c>
      <c r="K29" t="s">
        <v>56</v>
      </c>
      <c r="L29">
        <v>50</v>
      </c>
      <c r="M29" t="s">
        <v>26</v>
      </c>
      <c r="N29">
        <v>0.93333333333333335</v>
      </c>
      <c r="O29" t="s">
        <v>164</v>
      </c>
    </row>
    <row r="30" spans="1:15" x14ac:dyDescent="0.3">
      <c r="A30" t="s">
        <v>57</v>
      </c>
      <c r="B30" s="1">
        <v>45282</v>
      </c>
      <c r="C30" t="s">
        <v>122</v>
      </c>
      <c r="D30" t="s">
        <v>14</v>
      </c>
      <c r="E30" t="s">
        <v>24</v>
      </c>
      <c r="F30" t="s">
        <v>18</v>
      </c>
      <c r="G30">
        <v>400</v>
      </c>
      <c r="H30">
        <v>500</v>
      </c>
      <c r="I30">
        <v>900</v>
      </c>
      <c r="J30">
        <v>400</v>
      </c>
      <c r="K30" t="s">
        <v>29</v>
      </c>
      <c r="L30">
        <v>80</v>
      </c>
      <c r="M30" t="s">
        <v>16</v>
      </c>
      <c r="N30">
        <v>1.25</v>
      </c>
      <c r="O30" t="s">
        <v>105</v>
      </c>
    </row>
    <row r="31" spans="1:15" x14ac:dyDescent="0.3">
      <c r="A31" t="s">
        <v>57</v>
      </c>
      <c r="B31" s="1">
        <v>45282</v>
      </c>
      <c r="C31" t="s">
        <v>122</v>
      </c>
      <c r="D31" t="s">
        <v>14</v>
      </c>
      <c r="E31" t="s">
        <v>24</v>
      </c>
      <c r="F31" t="s">
        <v>18</v>
      </c>
      <c r="G31">
        <v>400</v>
      </c>
      <c r="H31">
        <v>500</v>
      </c>
      <c r="I31">
        <v>900</v>
      </c>
      <c r="J31">
        <v>400</v>
      </c>
      <c r="K31" t="s">
        <v>29</v>
      </c>
      <c r="L31">
        <v>80</v>
      </c>
      <c r="M31" t="s">
        <v>16</v>
      </c>
      <c r="N31">
        <v>1.25</v>
      </c>
      <c r="O31" t="s">
        <v>165</v>
      </c>
    </row>
    <row r="32" spans="1:15" x14ac:dyDescent="0.3">
      <c r="A32" t="s">
        <v>58</v>
      </c>
      <c r="B32" s="1">
        <v>45148</v>
      </c>
      <c r="C32" t="s">
        <v>131</v>
      </c>
      <c r="D32" t="s">
        <v>39</v>
      </c>
      <c r="E32" t="s">
        <v>59</v>
      </c>
      <c r="F32" t="s">
        <v>18</v>
      </c>
      <c r="G32">
        <v>200</v>
      </c>
      <c r="H32">
        <v>350</v>
      </c>
      <c r="I32">
        <v>600</v>
      </c>
      <c r="J32">
        <v>250</v>
      </c>
      <c r="K32" t="s">
        <v>15</v>
      </c>
      <c r="L32">
        <v>90</v>
      </c>
      <c r="M32" t="s">
        <v>26</v>
      </c>
      <c r="N32">
        <v>1.75</v>
      </c>
      <c r="O32" t="s">
        <v>60</v>
      </c>
    </row>
    <row r="33" spans="1:15" x14ac:dyDescent="0.3">
      <c r="A33" t="s">
        <v>61</v>
      </c>
      <c r="B33" s="1">
        <v>45261</v>
      </c>
      <c r="C33" t="s">
        <v>128</v>
      </c>
      <c r="D33" t="s">
        <v>31</v>
      </c>
      <c r="E33" t="s">
        <v>62</v>
      </c>
      <c r="F33" t="s">
        <v>194</v>
      </c>
      <c r="G33">
        <v>200</v>
      </c>
      <c r="H33">
        <v>600</v>
      </c>
      <c r="I33">
        <v>900</v>
      </c>
      <c r="J33">
        <v>300</v>
      </c>
      <c r="K33" t="s">
        <v>25</v>
      </c>
      <c r="L33">
        <v>85</v>
      </c>
      <c r="M33" t="s">
        <v>16</v>
      </c>
      <c r="N33">
        <v>3</v>
      </c>
      <c r="O33" t="s">
        <v>63</v>
      </c>
    </row>
    <row r="34" spans="1:15" x14ac:dyDescent="0.3">
      <c r="A34" t="s">
        <v>64</v>
      </c>
      <c r="B34" s="1">
        <v>43552</v>
      </c>
      <c r="C34" t="s">
        <v>139</v>
      </c>
      <c r="D34" t="s">
        <v>65</v>
      </c>
      <c r="E34" t="s">
        <v>66</v>
      </c>
      <c r="F34" t="s">
        <v>194</v>
      </c>
      <c r="G34">
        <v>30</v>
      </c>
      <c r="H34">
        <v>130</v>
      </c>
      <c r="I34">
        <v>200</v>
      </c>
      <c r="J34">
        <v>70</v>
      </c>
      <c r="K34" t="s">
        <v>15</v>
      </c>
      <c r="L34">
        <v>95</v>
      </c>
      <c r="M34" t="s">
        <v>26</v>
      </c>
      <c r="N34">
        <v>4.333333333333333</v>
      </c>
      <c r="O34" t="s">
        <v>67</v>
      </c>
    </row>
    <row r="35" spans="1:15" x14ac:dyDescent="0.3">
      <c r="A35" t="s">
        <v>68</v>
      </c>
      <c r="B35" s="1">
        <v>42650</v>
      </c>
      <c r="C35" t="s">
        <v>139</v>
      </c>
      <c r="D35" t="s">
        <v>65</v>
      </c>
      <c r="E35" t="s">
        <v>69</v>
      </c>
      <c r="F35" t="s">
        <v>18</v>
      </c>
      <c r="G35">
        <v>25</v>
      </c>
      <c r="H35">
        <v>100</v>
      </c>
      <c r="I35">
        <v>150</v>
      </c>
      <c r="J35">
        <v>50</v>
      </c>
      <c r="K35" t="s">
        <v>29</v>
      </c>
      <c r="L35">
        <v>80</v>
      </c>
      <c r="M35" t="s">
        <v>37</v>
      </c>
      <c r="N35">
        <v>4</v>
      </c>
      <c r="O35" t="s">
        <v>67</v>
      </c>
    </row>
    <row r="36" spans="1:15" x14ac:dyDescent="0.3">
      <c r="A36" t="s">
        <v>51</v>
      </c>
      <c r="B36" s="1">
        <v>44246</v>
      </c>
      <c r="C36" t="s">
        <v>139</v>
      </c>
      <c r="D36" t="s">
        <v>65</v>
      </c>
      <c r="E36" t="s">
        <v>70</v>
      </c>
      <c r="F36" t="s">
        <v>53</v>
      </c>
      <c r="G36">
        <v>50</v>
      </c>
      <c r="H36">
        <v>250</v>
      </c>
      <c r="I36">
        <v>300</v>
      </c>
      <c r="J36">
        <v>50</v>
      </c>
      <c r="K36" t="s">
        <v>25</v>
      </c>
      <c r="L36">
        <v>75</v>
      </c>
      <c r="M36" t="s">
        <v>37</v>
      </c>
      <c r="N36">
        <v>5</v>
      </c>
      <c r="O36" t="s">
        <v>67</v>
      </c>
    </row>
    <row r="37" spans="1:15" x14ac:dyDescent="0.3">
      <c r="A37" t="s">
        <v>71</v>
      </c>
      <c r="B37" s="1">
        <v>42153</v>
      </c>
      <c r="C37" t="s">
        <v>139</v>
      </c>
      <c r="D37" t="s">
        <v>65</v>
      </c>
      <c r="E37" t="s">
        <v>72</v>
      </c>
      <c r="F37" t="s">
        <v>195</v>
      </c>
      <c r="G37">
        <v>10</v>
      </c>
      <c r="H37">
        <v>60</v>
      </c>
      <c r="I37">
        <v>75</v>
      </c>
      <c r="J37">
        <v>15</v>
      </c>
      <c r="K37" t="s">
        <v>15</v>
      </c>
      <c r="L37">
        <v>120</v>
      </c>
      <c r="M37" t="s">
        <v>16</v>
      </c>
      <c r="N37">
        <v>6</v>
      </c>
      <c r="O37" t="s">
        <v>73</v>
      </c>
    </row>
    <row r="38" spans="1:15" x14ac:dyDescent="0.3">
      <c r="A38" t="s">
        <v>74</v>
      </c>
      <c r="B38" s="1">
        <v>44554</v>
      </c>
      <c r="C38" t="s">
        <v>139</v>
      </c>
      <c r="D38" t="s">
        <v>65</v>
      </c>
      <c r="E38" t="s">
        <v>75</v>
      </c>
      <c r="F38" t="s">
        <v>196</v>
      </c>
      <c r="G38">
        <v>18</v>
      </c>
      <c r="H38">
        <v>50</v>
      </c>
      <c r="I38">
        <v>70</v>
      </c>
      <c r="J38">
        <v>20</v>
      </c>
      <c r="K38" t="s">
        <v>29</v>
      </c>
      <c r="L38">
        <v>65</v>
      </c>
      <c r="M38" t="s">
        <v>16</v>
      </c>
      <c r="N38">
        <v>2.7777777777777777</v>
      </c>
      <c r="O38" t="s">
        <v>76</v>
      </c>
    </row>
    <row r="39" spans="1:15" x14ac:dyDescent="0.3">
      <c r="A39" t="s">
        <v>77</v>
      </c>
      <c r="B39" s="1">
        <v>45051</v>
      </c>
      <c r="C39" t="s">
        <v>139</v>
      </c>
      <c r="D39" t="s">
        <v>65</v>
      </c>
      <c r="E39" t="s">
        <v>78</v>
      </c>
      <c r="F39" t="s">
        <v>35</v>
      </c>
      <c r="G39">
        <v>30</v>
      </c>
      <c r="H39">
        <v>200</v>
      </c>
      <c r="I39">
        <v>250</v>
      </c>
      <c r="J39">
        <v>50</v>
      </c>
      <c r="K39" t="s">
        <v>15</v>
      </c>
      <c r="L39">
        <v>100</v>
      </c>
      <c r="M39" t="s">
        <v>79</v>
      </c>
      <c r="N39">
        <v>6.666666666666667</v>
      </c>
      <c r="O39" t="s">
        <v>76</v>
      </c>
    </row>
    <row r="40" spans="1:15" x14ac:dyDescent="0.3">
      <c r="A40" t="s">
        <v>77</v>
      </c>
      <c r="B40" s="1">
        <v>45051</v>
      </c>
      <c r="C40" t="s">
        <v>139</v>
      </c>
      <c r="D40" t="s">
        <v>65</v>
      </c>
      <c r="E40" t="s">
        <v>78</v>
      </c>
      <c r="F40" t="s">
        <v>35</v>
      </c>
      <c r="G40">
        <v>30</v>
      </c>
      <c r="H40">
        <v>200</v>
      </c>
      <c r="I40">
        <v>250</v>
      </c>
      <c r="J40">
        <v>50</v>
      </c>
      <c r="K40" t="s">
        <v>15</v>
      </c>
      <c r="L40">
        <v>100</v>
      </c>
      <c r="M40" t="s">
        <v>79</v>
      </c>
      <c r="N40">
        <v>6.666666666666667</v>
      </c>
      <c r="O40" t="s">
        <v>166</v>
      </c>
    </row>
    <row r="41" spans="1:15" x14ac:dyDescent="0.3">
      <c r="A41" t="s">
        <v>80</v>
      </c>
      <c r="B41" s="1">
        <v>44623</v>
      </c>
      <c r="C41" t="s">
        <v>139</v>
      </c>
      <c r="D41" t="s">
        <v>65</v>
      </c>
      <c r="E41" t="s">
        <v>81</v>
      </c>
      <c r="F41" t="s">
        <v>194</v>
      </c>
      <c r="G41">
        <v>20</v>
      </c>
      <c r="H41">
        <v>90</v>
      </c>
      <c r="I41">
        <v>115</v>
      </c>
      <c r="J41">
        <v>25</v>
      </c>
      <c r="K41" t="s">
        <v>29</v>
      </c>
      <c r="L41">
        <v>70</v>
      </c>
      <c r="M41" t="s">
        <v>37</v>
      </c>
      <c r="N41">
        <v>4.5</v>
      </c>
      <c r="O41" t="s">
        <v>82</v>
      </c>
    </row>
    <row r="42" spans="1:15" x14ac:dyDescent="0.3">
      <c r="A42" t="s">
        <v>83</v>
      </c>
      <c r="B42" s="1">
        <v>44512</v>
      </c>
      <c r="C42" t="s">
        <v>139</v>
      </c>
      <c r="D42" t="s">
        <v>65</v>
      </c>
      <c r="E42" t="s">
        <v>84</v>
      </c>
      <c r="F42" t="s">
        <v>197</v>
      </c>
      <c r="G42">
        <v>35</v>
      </c>
      <c r="H42">
        <v>80</v>
      </c>
      <c r="I42">
        <v>100</v>
      </c>
      <c r="J42">
        <v>20</v>
      </c>
      <c r="K42" t="s">
        <v>29</v>
      </c>
      <c r="L42">
        <v>60</v>
      </c>
      <c r="M42" t="s">
        <v>16</v>
      </c>
      <c r="N42">
        <v>2.2857142857142856</v>
      </c>
      <c r="O42" t="s">
        <v>85</v>
      </c>
    </row>
    <row r="43" spans="1:15" x14ac:dyDescent="0.3">
      <c r="A43" t="s">
        <v>86</v>
      </c>
      <c r="B43" s="1">
        <v>45393</v>
      </c>
      <c r="C43" t="s">
        <v>139</v>
      </c>
      <c r="D43" t="s">
        <v>65</v>
      </c>
      <c r="E43" t="s">
        <v>87</v>
      </c>
      <c r="F43" t="s">
        <v>198</v>
      </c>
      <c r="G43">
        <v>25</v>
      </c>
      <c r="H43">
        <v>120</v>
      </c>
      <c r="I43">
        <v>150</v>
      </c>
      <c r="J43">
        <v>30</v>
      </c>
      <c r="K43" t="s">
        <v>15</v>
      </c>
      <c r="L43">
        <v>85</v>
      </c>
      <c r="M43" t="s">
        <v>26</v>
      </c>
      <c r="N43">
        <v>4.8</v>
      </c>
      <c r="O43" t="s">
        <v>88</v>
      </c>
    </row>
    <row r="44" spans="1:15" x14ac:dyDescent="0.3">
      <c r="A44" t="s">
        <v>167</v>
      </c>
      <c r="B44" s="1">
        <v>45163</v>
      </c>
      <c r="C44" t="s">
        <v>139</v>
      </c>
      <c r="D44" t="s">
        <v>65</v>
      </c>
      <c r="E44" t="s">
        <v>90</v>
      </c>
      <c r="F44" t="s">
        <v>18</v>
      </c>
      <c r="G44">
        <v>20</v>
      </c>
      <c r="H44">
        <v>85</v>
      </c>
      <c r="I44">
        <v>100</v>
      </c>
      <c r="J44">
        <v>15</v>
      </c>
      <c r="K44" t="s">
        <v>29</v>
      </c>
      <c r="L44">
        <v>70</v>
      </c>
      <c r="M44" t="s">
        <v>16</v>
      </c>
      <c r="N44">
        <v>4.25</v>
      </c>
      <c r="O44" t="s">
        <v>168</v>
      </c>
    </row>
    <row r="45" spans="1:15" x14ac:dyDescent="0.3">
      <c r="A45" t="s">
        <v>167</v>
      </c>
      <c r="B45" s="1">
        <v>45163</v>
      </c>
      <c r="C45" t="s">
        <v>139</v>
      </c>
      <c r="D45" t="s">
        <v>65</v>
      </c>
      <c r="E45" t="s">
        <v>90</v>
      </c>
      <c r="F45" t="s">
        <v>18</v>
      </c>
      <c r="G45">
        <v>20</v>
      </c>
      <c r="H45">
        <v>85</v>
      </c>
      <c r="I45">
        <v>100</v>
      </c>
      <c r="J45">
        <v>15</v>
      </c>
      <c r="K45" t="s">
        <v>29</v>
      </c>
      <c r="L45">
        <v>70</v>
      </c>
      <c r="M45" t="s">
        <v>16</v>
      </c>
      <c r="N45">
        <v>4.25</v>
      </c>
      <c r="O45" t="s">
        <v>169</v>
      </c>
    </row>
    <row r="46" spans="1:15" x14ac:dyDescent="0.3">
      <c r="A46" t="s">
        <v>91</v>
      </c>
      <c r="B46" s="1">
        <v>44392</v>
      </c>
      <c r="C46" t="s">
        <v>139</v>
      </c>
      <c r="D46" t="s">
        <v>65</v>
      </c>
      <c r="E46" t="s">
        <v>92</v>
      </c>
      <c r="F46" t="s">
        <v>35</v>
      </c>
      <c r="G46">
        <v>25</v>
      </c>
      <c r="H46">
        <v>60</v>
      </c>
      <c r="I46">
        <v>75</v>
      </c>
      <c r="J46">
        <v>15</v>
      </c>
      <c r="K46" t="s">
        <v>56</v>
      </c>
      <c r="L46">
        <v>55</v>
      </c>
      <c r="M46" t="s">
        <v>26</v>
      </c>
      <c r="N46">
        <v>2.4</v>
      </c>
      <c r="O46" t="s">
        <v>88</v>
      </c>
    </row>
    <row r="47" spans="1:15" x14ac:dyDescent="0.3">
      <c r="A47" t="s">
        <v>93</v>
      </c>
      <c r="B47" s="1">
        <v>43503</v>
      </c>
      <c r="C47" t="s">
        <v>139</v>
      </c>
      <c r="D47" t="s">
        <v>65</v>
      </c>
      <c r="E47" t="s">
        <v>94</v>
      </c>
      <c r="F47" t="s">
        <v>35</v>
      </c>
      <c r="G47">
        <v>8</v>
      </c>
      <c r="H47">
        <v>50</v>
      </c>
      <c r="I47">
        <v>65</v>
      </c>
      <c r="J47">
        <v>15</v>
      </c>
      <c r="K47" t="s">
        <v>15</v>
      </c>
      <c r="L47">
        <v>95</v>
      </c>
      <c r="M47" t="s">
        <v>26</v>
      </c>
      <c r="N47">
        <v>6.25</v>
      </c>
      <c r="O47" t="s">
        <v>88</v>
      </c>
    </row>
    <row r="48" spans="1:15" x14ac:dyDescent="0.3">
      <c r="A48" t="s">
        <v>93</v>
      </c>
      <c r="B48" s="1">
        <v>43503</v>
      </c>
      <c r="C48" t="s">
        <v>139</v>
      </c>
      <c r="D48" t="s">
        <v>65</v>
      </c>
      <c r="E48" t="s">
        <v>94</v>
      </c>
      <c r="F48" t="s">
        <v>35</v>
      </c>
      <c r="G48">
        <v>8</v>
      </c>
      <c r="H48">
        <v>50</v>
      </c>
      <c r="I48">
        <v>65</v>
      </c>
      <c r="J48">
        <v>15</v>
      </c>
      <c r="K48" t="s">
        <v>15</v>
      </c>
      <c r="L48">
        <v>95</v>
      </c>
      <c r="M48" t="s">
        <v>26</v>
      </c>
      <c r="N48">
        <v>6.25</v>
      </c>
      <c r="O48" t="s">
        <v>169</v>
      </c>
    </row>
    <row r="49" spans="1:15" x14ac:dyDescent="0.3">
      <c r="A49" t="s">
        <v>95</v>
      </c>
      <c r="B49" s="1">
        <v>44582</v>
      </c>
      <c r="C49" t="s">
        <v>139</v>
      </c>
      <c r="D49" t="s">
        <v>65</v>
      </c>
      <c r="E49" t="s">
        <v>96</v>
      </c>
      <c r="F49" t="s">
        <v>195</v>
      </c>
      <c r="G49">
        <v>15</v>
      </c>
      <c r="H49">
        <v>60</v>
      </c>
      <c r="I49">
        <v>80</v>
      </c>
      <c r="J49">
        <v>20</v>
      </c>
      <c r="K49" t="s">
        <v>29</v>
      </c>
      <c r="L49">
        <v>75</v>
      </c>
      <c r="M49" t="s">
        <v>37</v>
      </c>
      <c r="N49">
        <v>4</v>
      </c>
      <c r="O49" t="s">
        <v>97</v>
      </c>
    </row>
    <row r="50" spans="1:15" x14ac:dyDescent="0.3">
      <c r="A50" t="s">
        <v>98</v>
      </c>
      <c r="B50" s="1">
        <v>43819</v>
      </c>
      <c r="C50" t="s">
        <v>139</v>
      </c>
      <c r="D50" t="s">
        <v>65</v>
      </c>
      <c r="E50" t="s">
        <v>99</v>
      </c>
      <c r="F50" t="s">
        <v>35</v>
      </c>
      <c r="G50">
        <v>12</v>
      </c>
      <c r="H50">
        <v>55</v>
      </c>
      <c r="I50">
        <v>70</v>
      </c>
      <c r="J50">
        <v>15</v>
      </c>
      <c r="K50" t="s">
        <v>29</v>
      </c>
      <c r="L50">
        <v>70</v>
      </c>
      <c r="M50" t="s">
        <v>26</v>
      </c>
      <c r="N50">
        <v>4.583333333333333</v>
      </c>
      <c r="O50" t="s">
        <v>66</v>
      </c>
    </row>
    <row r="51" spans="1:15" x14ac:dyDescent="0.3">
      <c r="A51" t="s">
        <v>98</v>
      </c>
      <c r="B51" s="1">
        <v>43819</v>
      </c>
      <c r="C51" t="s">
        <v>139</v>
      </c>
      <c r="D51" t="s">
        <v>65</v>
      </c>
      <c r="E51" t="s">
        <v>99</v>
      </c>
      <c r="F51" t="s">
        <v>35</v>
      </c>
      <c r="G51">
        <v>12</v>
      </c>
      <c r="H51">
        <v>55</v>
      </c>
      <c r="I51">
        <v>70</v>
      </c>
      <c r="J51">
        <v>15</v>
      </c>
      <c r="K51" t="s">
        <v>29</v>
      </c>
      <c r="L51">
        <v>70</v>
      </c>
      <c r="M51" t="s">
        <v>26</v>
      </c>
      <c r="N51">
        <v>4.583333333333333</v>
      </c>
      <c r="O51" t="s">
        <v>170</v>
      </c>
    </row>
    <row r="52" spans="1:15" x14ac:dyDescent="0.3">
      <c r="A52" t="s">
        <v>152</v>
      </c>
      <c r="B52" s="1">
        <v>45162</v>
      </c>
      <c r="C52" t="s">
        <v>139</v>
      </c>
      <c r="D52" t="s">
        <v>65</v>
      </c>
      <c r="E52" t="s">
        <v>101</v>
      </c>
      <c r="F52" t="s">
        <v>18</v>
      </c>
      <c r="G52">
        <v>50</v>
      </c>
      <c r="H52">
        <v>45</v>
      </c>
      <c r="I52">
        <v>70</v>
      </c>
      <c r="J52">
        <v>25</v>
      </c>
      <c r="K52" t="s">
        <v>102</v>
      </c>
      <c r="L52">
        <v>45</v>
      </c>
      <c r="M52" t="s">
        <v>37</v>
      </c>
      <c r="N52">
        <v>0.9</v>
      </c>
      <c r="O52" t="s">
        <v>85</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28638-5DC3-4693-BA5A-519F1D8B3B19}">
  <dimension ref="A1:E32"/>
  <sheetViews>
    <sheetView workbookViewId="0">
      <selection activeCell="G22" sqref="G22"/>
    </sheetView>
  </sheetViews>
  <sheetFormatPr defaultRowHeight="14.4" x14ac:dyDescent="0.3"/>
  <cols>
    <col min="1" max="1" width="17.88671875" bestFit="1" customWidth="1"/>
    <col min="2" max="2" width="16.109375" bestFit="1" customWidth="1"/>
    <col min="3" max="3" width="15.33203125" bestFit="1" customWidth="1"/>
    <col min="4" max="4" width="6.88671875" bestFit="1" customWidth="1"/>
    <col min="5" max="5" width="13.33203125" bestFit="1" customWidth="1"/>
    <col min="6" max="6" width="11" bestFit="1" customWidth="1"/>
  </cols>
  <sheetData>
    <row r="1" spans="1:5" x14ac:dyDescent="0.3">
      <c r="A1" t="s">
        <v>103</v>
      </c>
      <c r="B1" t="s">
        <v>0</v>
      </c>
      <c r="C1" t="s">
        <v>149</v>
      </c>
      <c r="D1" t="s">
        <v>104</v>
      </c>
      <c r="E1" t="s">
        <v>1</v>
      </c>
    </row>
    <row r="2" spans="1:5" x14ac:dyDescent="0.3">
      <c r="A2" t="s">
        <v>105</v>
      </c>
      <c r="B2" t="s">
        <v>13</v>
      </c>
      <c r="C2">
        <v>27.5</v>
      </c>
      <c r="D2">
        <v>2015</v>
      </c>
      <c r="E2" t="s">
        <v>122</v>
      </c>
    </row>
    <row r="3" spans="1:5" x14ac:dyDescent="0.3">
      <c r="A3" t="s">
        <v>120</v>
      </c>
      <c r="B3" t="s">
        <v>150</v>
      </c>
      <c r="C3">
        <v>100</v>
      </c>
      <c r="D3">
        <v>2022</v>
      </c>
      <c r="E3" t="s">
        <v>122</v>
      </c>
    </row>
    <row r="4" spans="1:5" x14ac:dyDescent="0.3">
      <c r="A4" t="s">
        <v>119</v>
      </c>
      <c r="B4" t="s">
        <v>150</v>
      </c>
      <c r="C4">
        <v>100</v>
      </c>
      <c r="D4">
        <v>2022</v>
      </c>
      <c r="E4" t="s">
        <v>122</v>
      </c>
    </row>
    <row r="5" spans="1:5" x14ac:dyDescent="0.3">
      <c r="A5" t="s">
        <v>44</v>
      </c>
      <c r="B5" t="s">
        <v>151</v>
      </c>
      <c r="C5">
        <v>40</v>
      </c>
      <c r="D5">
        <v>2022</v>
      </c>
      <c r="E5" t="s">
        <v>125</v>
      </c>
    </row>
    <row r="6" spans="1:5" x14ac:dyDescent="0.3">
      <c r="A6" t="s">
        <v>106</v>
      </c>
      <c r="B6" t="s">
        <v>27</v>
      </c>
      <c r="C6">
        <v>40</v>
      </c>
      <c r="D6">
        <v>2021</v>
      </c>
      <c r="E6" t="s">
        <v>122</v>
      </c>
    </row>
    <row r="7" spans="1:5" x14ac:dyDescent="0.3">
      <c r="A7" t="s">
        <v>107</v>
      </c>
      <c r="B7" t="s">
        <v>30</v>
      </c>
      <c r="C7">
        <v>110</v>
      </c>
      <c r="D7">
        <v>2023</v>
      </c>
      <c r="E7" t="s">
        <v>128</v>
      </c>
    </row>
    <row r="8" spans="1:5" x14ac:dyDescent="0.3">
      <c r="A8" t="s">
        <v>108</v>
      </c>
      <c r="B8" t="s">
        <v>33</v>
      </c>
      <c r="C8">
        <v>60</v>
      </c>
      <c r="D8">
        <v>2016</v>
      </c>
      <c r="E8" t="s">
        <v>128</v>
      </c>
    </row>
    <row r="9" spans="1:5" x14ac:dyDescent="0.3">
      <c r="A9" t="s">
        <v>109</v>
      </c>
      <c r="B9" t="s">
        <v>38</v>
      </c>
      <c r="C9">
        <v>80</v>
      </c>
      <c r="D9">
        <v>2023</v>
      </c>
      <c r="E9" t="s">
        <v>131</v>
      </c>
    </row>
    <row r="10" spans="1:5" x14ac:dyDescent="0.3">
      <c r="A10" t="s">
        <v>110</v>
      </c>
      <c r="B10" t="s">
        <v>41</v>
      </c>
      <c r="C10">
        <v>50</v>
      </c>
      <c r="D10">
        <v>2022</v>
      </c>
      <c r="E10" t="s">
        <v>131</v>
      </c>
    </row>
    <row r="11" spans="1:5" x14ac:dyDescent="0.3">
      <c r="A11" t="s">
        <v>105</v>
      </c>
      <c r="B11" t="s">
        <v>57</v>
      </c>
      <c r="C11">
        <v>120</v>
      </c>
      <c r="D11">
        <v>2023</v>
      </c>
      <c r="E11" t="s">
        <v>122</v>
      </c>
    </row>
    <row r="12" spans="1:5" x14ac:dyDescent="0.3">
      <c r="A12" t="s">
        <v>60</v>
      </c>
      <c r="B12" t="s">
        <v>58</v>
      </c>
      <c r="C12">
        <v>110</v>
      </c>
      <c r="D12">
        <v>2023</v>
      </c>
      <c r="E12" t="s">
        <v>131</v>
      </c>
    </row>
    <row r="13" spans="1:5" x14ac:dyDescent="0.3">
      <c r="A13" t="s">
        <v>63</v>
      </c>
      <c r="B13" t="s">
        <v>61</v>
      </c>
      <c r="C13">
        <v>70</v>
      </c>
      <c r="D13">
        <v>2023</v>
      </c>
      <c r="E13" t="s">
        <v>128</v>
      </c>
    </row>
    <row r="14" spans="1:5" x14ac:dyDescent="0.3">
      <c r="A14" t="s">
        <v>111</v>
      </c>
      <c r="B14" t="s">
        <v>54</v>
      </c>
      <c r="C14">
        <v>100</v>
      </c>
      <c r="D14">
        <v>2023</v>
      </c>
      <c r="E14" t="s">
        <v>128</v>
      </c>
    </row>
    <row r="15" spans="1:5" x14ac:dyDescent="0.3">
      <c r="A15" t="s">
        <v>112</v>
      </c>
      <c r="B15" t="s">
        <v>51</v>
      </c>
      <c r="C15">
        <v>30</v>
      </c>
      <c r="D15">
        <v>2022</v>
      </c>
      <c r="E15" t="s">
        <v>128</v>
      </c>
    </row>
    <row r="16" spans="1:5" x14ac:dyDescent="0.3">
      <c r="A16" t="s">
        <v>113</v>
      </c>
      <c r="B16" t="s">
        <v>45</v>
      </c>
      <c r="C16">
        <v>60</v>
      </c>
      <c r="D16">
        <v>2019</v>
      </c>
      <c r="E16" t="s">
        <v>128</v>
      </c>
    </row>
    <row r="17" spans="1:5" x14ac:dyDescent="0.3">
      <c r="A17" t="s">
        <v>50</v>
      </c>
      <c r="B17" t="s">
        <v>49</v>
      </c>
      <c r="C17">
        <v>5</v>
      </c>
      <c r="D17">
        <v>2022</v>
      </c>
      <c r="E17" t="s">
        <v>125</v>
      </c>
    </row>
    <row r="18" spans="1:5" x14ac:dyDescent="0.3">
      <c r="A18" t="s">
        <v>67</v>
      </c>
      <c r="B18" t="s">
        <v>64</v>
      </c>
      <c r="C18">
        <v>20</v>
      </c>
      <c r="D18">
        <v>2019</v>
      </c>
      <c r="E18" t="s">
        <v>139</v>
      </c>
    </row>
    <row r="19" spans="1:5" x14ac:dyDescent="0.3">
      <c r="A19" t="s">
        <v>67</v>
      </c>
      <c r="B19" t="s">
        <v>68</v>
      </c>
      <c r="C19">
        <v>20</v>
      </c>
      <c r="D19">
        <v>2016</v>
      </c>
      <c r="E19" t="s">
        <v>139</v>
      </c>
    </row>
    <row r="20" spans="1:5" x14ac:dyDescent="0.3">
      <c r="A20" t="s">
        <v>67</v>
      </c>
      <c r="B20" t="s">
        <v>51</v>
      </c>
      <c r="C20">
        <v>25</v>
      </c>
      <c r="D20">
        <v>2021</v>
      </c>
      <c r="E20" t="s">
        <v>139</v>
      </c>
    </row>
    <row r="21" spans="1:5" x14ac:dyDescent="0.3">
      <c r="A21" t="s">
        <v>82</v>
      </c>
      <c r="B21" t="s">
        <v>80</v>
      </c>
      <c r="C21">
        <v>15</v>
      </c>
      <c r="D21">
        <v>2022</v>
      </c>
      <c r="E21" t="s">
        <v>139</v>
      </c>
    </row>
    <row r="22" spans="1:5" x14ac:dyDescent="0.3">
      <c r="A22" t="s">
        <v>82</v>
      </c>
      <c r="B22" t="s">
        <v>114</v>
      </c>
      <c r="C22">
        <v>22.5</v>
      </c>
      <c r="D22">
        <v>2024</v>
      </c>
      <c r="E22" t="s">
        <v>139</v>
      </c>
    </row>
    <row r="23" spans="1:5" x14ac:dyDescent="0.3">
      <c r="A23" t="s">
        <v>76</v>
      </c>
      <c r="B23" t="s">
        <v>74</v>
      </c>
      <c r="C23">
        <v>8</v>
      </c>
      <c r="D23">
        <v>2021</v>
      </c>
      <c r="E23" t="s">
        <v>139</v>
      </c>
    </row>
    <row r="24" spans="1:5" x14ac:dyDescent="0.3">
      <c r="A24" t="s">
        <v>76</v>
      </c>
      <c r="B24" t="s">
        <v>77</v>
      </c>
      <c r="C24">
        <v>10</v>
      </c>
      <c r="D24">
        <v>2023</v>
      </c>
      <c r="E24" t="s">
        <v>139</v>
      </c>
    </row>
    <row r="25" spans="1:5" x14ac:dyDescent="0.3">
      <c r="A25" t="s">
        <v>85</v>
      </c>
      <c r="B25" t="s">
        <v>83</v>
      </c>
      <c r="C25">
        <v>12</v>
      </c>
      <c r="D25">
        <v>2021</v>
      </c>
      <c r="E25" t="s">
        <v>139</v>
      </c>
    </row>
    <row r="26" spans="1:5" x14ac:dyDescent="0.3">
      <c r="A26" t="s">
        <v>85</v>
      </c>
      <c r="B26" t="s">
        <v>152</v>
      </c>
      <c r="C26">
        <v>15</v>
      </c>
      <c r="D26">
        <v>2023</v>
      </c>
      <c r="E26" t="s">
        <v>139</v>
      </c>
    </row>
    <row r="27" spans="1:5" x14ac:dyDescent="0.3">
      <c r="A27" t="s">
        <v>88</v>
      </c>
      <c r="B27" t="s">
        <v>91</v>
      </c>
      <c r="C27">
        <v>7</v>
      </c>
      <c r="D27">
        <v>2021</v>
      </c>
      <c r="E27" t="s">
        <v>139</v>
      </c>
    </row>
    <row r="28" spans="1:5" x14ac:dyDescent="0.3">
      <c r="A28" t="s">
        <v>88</v>
      </c>
      <c r="B28" t="s">
        <v>86</v>
      </c>
      <c r="C28">
        <v>10</v>
      </c>
      <c r="D28">
        <v>2024</v>
      </c>
      <c r="E28" t="s">
        <v>139</v>
      </c>
    </row>
    <row r="29" spans="1:5" x14ac:dyDescent="0.3">
      <c r="A29" t="s">
        <v>73</v>
      </c>
      <c r="B29" t="s">
        <v>71</v>
      </c>
      <c r="C29">
        <v>5</v>
      </c>
      <c r="D29">
        <v>2015</v>
      </c>
      <c r="E29" t="s">
        <v>139</v>
      </c>
    </row>
    <row r="30" spans="1:5" x14ac:dyDescent="0.3">
      <c r="A30" t="s">
        <v>73</v>
      </c>
      <c r="B30" t="s">
        <v>115</v>
      </c>
      <c r="C30">
        <v>7</v>
      </c>
      <c r="D30">
        <v>2019</v>
      </c>
      <c r="E30" t="s">
        <v>139</v>
      </c>
    </row>
    <row r="31" spans="1:5" x14ac:dyDescent="0.3">
      <c r="A31" t="s">
        <v>66</v>
      </c>
      <c r="B31" t="s">
        <v>64</v>
      </c>
      <c r="C31">
        <v>10</v>
      </c>
      <c r="D31">
        <v>2019</v>
      </c>
      <c r="E31" t="s">
        <v>139</v>
      </c>
    </row>
    <row r="32" spans="1:5" x14ac:dyDescent="0.3">
      <c r="A32" t="s">
        <v>66</v>
      </c>
      <c r="B32" t="s">
        <v>57</v>
      </c>
      <c r="C32">
        <v>20</v>
      </c>
      <c r="D32">
        <v>2023</v>
      </c>
      <c r="E32" t="s">
        <v>139</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1B96C-EED0-4DF0-AD68-D2F40E40C118}">
  <dimension ref="A1:E37"/>
  <sheetViews>
    <sheetView topLeftCell="A6" workbookViewId="0">
      <selection sqref="A1:E37"/>
    </sheetView>
  </sheetViews>
  <sheetFormatPr defaultRowHeight="14.4" x14ac:dyDescent="0.3"/>
  <cols>
    <col min="1" max="1" width="6.88671875" bestFit="1" customWidth="1"/>
    <col min="2" max="2" width="12.44140625" bestFit="1" customWidth="1"/>
    <col min="3" max="3" width="14.44140625" bestFit="1" customWidth="1"/>
    <col min="4" max="4" width="16.88671875" bestFit="1" customWidth="1"/>
    <col min="5" max="5" width="15.5546875" bestFit="1" customWidth="1"/>
  </cols>
  <sheetData>
    <row r="1" spans="1:5" x14ac:dyDescent="0.3">
      <c r="A1" t="s">
        <v>104</v>
      </c>
      <c r="B1" t="s">
        <v>1</v>
      </c>
      <c r="C1" t="s">
        <v>116</v>
      </c>
      <c r="D1" t="s">
        <v>117</v>
      </c>
      <c r="E1" t="s">
        <v>118</v>
      </c>
    </row>
    <row r="2" spans="1:5" x14ac:dyDescent="0.3">
      <c r="A2">
        <v>2015</v>
      </c>
      <c r="B2" t="s">
        <v>128</v>
      </c>
      <c r="C2">
        <v>4000</v>
      </c>
      <c r="D2">
        <v>9000</v>
      </c>
      <c r="E2">
        <v>180</v>
      </c>
    </row>
    <row r="3" spans="1:5" x14ac:dyDescent="0.3">
      <c r="A3">
        <v>2015</v>
      </c>
      <c r="B3" t="s">
        <v>122</v>
      </c>
      <c r="C3">
        <v>2500</v>
      </c>
      <c r="D3">
        <v>6000</v>
      </c>
      <c r="E3">
        <v>120</v>
      </c>
    </row>
    <row r="4" spans="1:5" x14ac:dyDescent="0.3">
      <c r="A4">
        <v>2015</v>
      </c>
      <c r="B4" t="s">
        <v>139</v>
      </c>
      <c r="C4">
        <v>800</v>
      </c>
      <c r="D4">
        <v>1500</v>
      </c>
      <c r="E4">
        <v>70</v>
      </c>
    </row>
    <row r="5" spans="1:5" x14ac:dyDescent="0.3">
      <c r="A5">
        <v>2016</v>
      </c>
      <c r="B5" t="s">
        <v>128</v>
      </c>
      <c r="C5">
        <v>4200</v>
      </c>
      <c r="D5">
        <v>9500</v>
      </c>
      <c r="E5">
        <v>190</v>
      </c>
    </row>
    <row r="6" spans="1:5" x14ac:dyDescent="0.3">
      <c r="A6">
        <v>2016</v>
      </c>
      <c r="B6" t="s">
        <v>122</v>
      </c>
      <c r="C6">
        <v>2700</v>
      </c>
      <c r="D6">
        <v>6500</v>
      </c>
      <c r="E6">
        <v>130</v>
      </c>
    </row>
    <row r="7" spans="1:5" x14ac:dyDescent="0.3">
      <c r="A7">
        <v>2016</v>
      </c>
      <c r="B7" t="s">
        <v>139</v>
      </c>
      <c r="C7">
        <v>850</v>
      </c>
      <c r="D7">
        <v>1600</v>
      </c>
      <c r="E7">
        <v>75</v>
      </c>
    </row>
    <row r="8" spans="1:5" x14ac:dyDescent="0.3">
      <c r="A8">
        <v>2017</v>
      </c>
      <c r="B8" t="s">
        <v>128</v>
      </c>
      <c r="C8">
        <v>4500</v>
      </c>
      <c r="D8">
        <v>9800</v>
      </c>
      <c r="E8">
        <v>200</v>
      </c>
    </row>
    <row r="9" spans="1:5" x14ac:dyDescent="0.3">
      <c r="A9">
        <v>2017</v>
      </c>
      <c r="B9" t="s">
        <v>122</v>
      </c>
      <c r="C9">
        <v>3000</v>
      </c>
      <c r="D9">
        <v>7000</v>
      </c>
      <c r="E9">
        <v>135</v>
      </c>
    </row>
    <row r="10" spans="1:5" x14ac:dyDescent="0.3">
      <c r="A10">
        <v>2017</v>
      </c>
      <c r="B10" t="s">
        <v>139</v>
      </c>
      <c r="C10">
        <v>900</v>
      </c>
      <c r="D10">
        <v>1700</v>
      </c>
      <c r="E10">
        <v>80</v>
      </c>
    </row>
    <row r="11" spans="1:5" x14ac:dyDescent="0.3">
      <c r="A11">
        <v>2018</v>
      </c>
      <c r="B11" t="s">
        <v>128</v>
      </c>
      <c r="C11">
        <v>4700</v>
      </c>
      <c r="D11">
        <v>10000</v>
      </c>
      <c r="E11">
        <v>210</v>
      </c>
    </row>
    <row r="12" spans="1:5" x14ac:dyDescent="0.3">
      <c r="A12">
        <v>2018</v>
      </c>
      <c r="B12" t="s">
        <v>122</v>
      </c>
      <c r="C12">
        <v>3200</v>
      </c>
      <c r="D12">
        <v>7500</v>
      </c>
      <c r="E12">
        <v>140</v>
      </c>
    </row>
    <row r="13" spans="1:5" x14ac:dyDescent="0.3">
      <c r="A13">
        <v>2018</v>
      </c>
      <c r="B13" t="s">
        <v>139</v>
      </c>
      <c r="C13">
        <v>1000</v>
      </c>
      <c r="D13">
        <v>1800</v>
      </c>
      <c r="E13">
        <v>85</v>
      </c>
    </row>
    <row r="14" spans="1:5" x14ac:dyDescent="0.3">
      <c r="A14">
        <v>2019</v>
      </c>
      <c r="B14" t="s">
        <v>128</v>
      </c>
      <c r="C14">
        <v>5000</v>
      </c>
      <c r="D14">
        <v>10500</v>
      </c>
      <c r="E14">
        <v>220</v>
      </c>
    </row>
    <row r="15" spans="1:5" x14ac:dyDescent="0.3">
      <c r="A15">
        <v>2019</v>
      </c>
      <c r="B15" t="s">
        <v>122</v>
      </c>
      <c r="C15">
        <v>3500</v>
      </c>
      <c r="D15">
        <v>8000</v>
      </c>
      <c r="E15">
        <v>150</v>
      </c>
    </row>
    <row r="16" spans="1:5" x14ac:dyDescent="0.3">
      <c r="A16">
        <v>2019</v>
      </c>
      <c r="B16" t="s">
        <v>139</v>
      </c>
      <c r="C16">
        <v>1100</v>
      </c>
      <c r="D16">
        <v>2000</v>
      </c>
      <c r="E16">
        <v>90</v>
      </c>
    </row>
    <row r="17" spans="1:5" x14ac:dyDescent="0.3">
      <c r="A17">
        <v>2020</v>
      </c>
      <c r="B17" t="s">
        <v>128</v>
      </c>
      <c r="C17">
        <v>2000</v>
      </c>
      <c r="D17">
        <v>3000</v>
      </c>
      <c r="E17">
        <v>80</v>
      </c>
    </row>
    <row r="18" spans="1:5" x14ac:dyDescent="0.3">
      <c r="A18">
        <v>2020</v>
      </c>
      <c r="B18" t="s">
        <v>122</v>
      </c>
      <c r="C18">
        <v>1800</v>
      </c>
      <c r="D18">
        <v>2800</v>
      </c>
      <c r="E18">
        <v>70</v>
      </c>
    </row>
    <row r="19" spans="1:5" x14ac:dyDescent="0.3">
      <c r="A19">
        <v>2020</v>
      </c>
      <c r="B19" t="s">
        <v>139</v>
      </c>
      <c r="C19">
        <v>600</v>
      </c>
      <c r="D19">
        <v>900</v>
      </c>
      <c r="E19">
        <v>50</v>
      </c>
    </row>
    <row r="20" spans="1:5" x14ac:dyDescent="0.3">
      <c r="A20">
        <v>2021</v>
      </c>
      <c r="B20" t="s">
        <v>128</v>
      </c>
      <c r="C20">
        <v>3000</v>
      </c>
      <c r="D20">
        <v>5000</v>
      </c>
      <c r="E20">
        <v>100</v>
      </c>
    </row>
    <row r="21" spans="1:5" x14ac:dyDescent="0.3">
      <c r="A21">
        <v>2021</v>
      </c>
      <c r="B21" t="s">
        <v>122</v>
      </c>
      <c r="C21">
        <v>2800</v>
      </c>
      <c r="D21">
        <v>6000</v>
      </c>
      <c r="E21">
        <v>120</v>
      </c>
    </row>
    <row r="22" spans="1:5" x14ac:dyDescent="0.3">
      <c r="A22">
        <v>2021</v>
      </c>
      <c r="B22" t="s">
        <v>139</v>
      </c>
      <c r="C22">
        <v>900</v>
      </c>
      <c r="D22">
        <v>1500</v>
      </c>
      <c r="E22">
        <v>75</v>
      </c>
    </row>
    <row r="23" spans="1:5" x14ac:dyDescent="0.3">
      <c r="A23">
        <v>2022</v>
      </c>
      <c r="B23" t="s">
        <v>128</v>
      </c>
      <c r="C23">
        <v>6000</v>
      </c>
      <c r="D23">
        <v>9000</v>
      </c>
      <c r="E23">
        <v>180</v>
      </c>
    </row>
    <row r="24" spans="1:5" x14ac:dyDescent="0.3">
      <c r="A24">
        <v>2022</v>
      </c>
      <c r="B24" t="s">
        <v>122</v>
      </c>
      <c r="C24">
        <v>5000</v>
      </c>
      <c r="D24">
        <v>11000</v>
      </c>
      <c r="E24">
        <v>140</v>
      </c>
    </row>
    <row r="25" spans="1:5" x14ac:dyDescent="0.3">
      <c r="A25">
        <v>2022</v>
      </c>
      <c r="B25" t="s">
        <v>139</v>
      </c>
      <c r="C25">
        <v>1800</v>
      </c>
      <c r="D25">
        <v>3000</v>
      </c>
      <c r="E25">
        <v>95</v>
      </c>
    </row>
    <row r="26" spans="1:5" x14ac:dyDescent="0.3">
      <c r="A26">
        <v>2023</v>
      </c>
      <c r="B26" t="s">
        <v>128</v>
      </c>
      <c r="C26">
        <v>7000</v>
      </c>
      <c r="D26">
        <v>11000</v>
      </c>
      <c r="E26">
        <v>210</v>
      </c>
    </row>
    <row r="27" spans="1:5" x14ac:dyDescent="0.3">
      <c r="A27">
        <v>2023</v>
      </c>
      <c r="B27" t="s">
        <v>122</v>
      </c>
      <c r="C27">
        <v>6000</v>
      </c>
      <c r="D27">
        <v>12000</v>
      </c>
      <c r="E27">
        <v>150</v>
      </c>
    </row>
    <row r="28" spans="1:5" x14ac:dyDescent="0.3">
      <c r="A28">
        <v>2023</v>
      </c>
      <c r="B28" t="s">
        <v>139</v>
      </c>
      <c r="C28">
        <v>2500</v>
      </c>
      <c r="D28">
        <v>4500</v>
      </c>
      <c r="E28">
        <v>100</v>
      </c>
    </row>
    <row r="29" spans="1:5" x14ac:dyDescent="0.3">
      <c r="A29">
        <v>2024</v>
      </c>
      <c r="B29" t="s">
        <v>122</v>
      </c>
      <c r="C29">
        <v>7000</v>
      </c>
      <c r="D29">
        <v>13000</v>
      </c>
      <c r="E29">
        <v>160</v>
      </c>
    </row>
    <row r="30" spans="1:5" x14ac:dyDescent="0.3">
      <c r="A30">
        <v>2024</v>
      </c>
      <c r="B30" t="s">
        <v>128</v>
      </c>
      <c r="C30">
        <v>7500</v>
      </c>
      <c r="D30">
        <v>12500</v>
      </c>
      <c r="E30">
        <v>220</v>
      </c>
    </row>
    <row r="31" spans="1:5" x14ac:dyDescent="0.3">
      <c r="A31">
        <v>2024</v>
      </c>
      <c r="B31" t="s">
        <v>139</v>
      </c>
      <c r="C31">
        <v>3000</v>
      </c>
      <c r="D31">
        <v>5000</v>
      </c>
      <c r="E31">
        <v>110</v>
      </c>
    </row>
    <row r="32" spans="1:5" x14ac:dyDescent="0.3">
      <c r="A32">
        <v>2025</v>
      </c>
      <c r="B32" t="s">
        <v>128</v>
      </c>
      <c r="C32">
        <v>8000</v>
      </c>
      <c r="D32">
        <v>14000</v>
      </c>
      <c r="E32">
        <v>220</v>
      </c>
    </row>
    <row r="33" spans="1:5" x14ac:dyDescent="0.3">
      <c r="A33">
        <v>2025</v>
      </c>
      <c r="B33" t="s">
        <v>122</v>
      </c>
      <c r="C33">
        <v>7800</v>
      </c>
      <c r="D33">
        <v>15000</v>
      </c>
      <c r="E33">
        <v>170</v>
      </c>
    </row>
    <row r="34" spans="1:5" x14ac:dyDescent="0.3">
      <c r="A34">
        <v>2025</v>
      </c>
      <c r="B34" t="s">
        <v>139</v>
      </c>
      <c r="C34">
        <v>3500</v>
      </c>
      <c r="D34">
        <v>6000</v>
      </c>
      <c r="E34">
        <v>115</v>
      </c>
    </row>
    <row r="35" spans="1:5" x14ac:dyDescent="0.3">
      <c r="A35">
        <v>2026</v>
      </c>
      <c r="B35" t="s">
        <v>128</v>
      </c>
      <c r="C35">
        <v>9000</v>
      </c>
      <c r="D35">
        <v>16000</v>
      </c>
      <c r="E35">
        <v>230</v>
      </c>
    </row>
    <row r="36" spans="1:5" x14ac:dyDescent="0.3">
      <c r="A36">
        <v>2026</v>
      </c>
      <c r="B36" t="s">
        <v>122</v>
      </c>
      <c r="C36">
        <v>8500</v>
      </c>
      <c r="D36">
        <v>17000</v>
      </c>
      <c r="E36">
        <v>180</v>
      </c>
    </row>
    <row r="37" spans="1:5" x14ac:dyDescent="0.3">
      <c r="A37">
        <v>2026</v>
      </c>
      <c r="B37" t="s">
        <v>139</v>
      </c>
      <c r="C37">
        <v>4000</v>
      </c>
      <c r="D37">
        <v>7000</v>
      </c>
      <c r="E37">
        <v>120</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3B486-62C7-4997-A008-4A99030B13EC}">
  <dimension ref="A1:S52"/>
  <sheetViews>
    <sheetView topLeftCell="H27" workbookViewId="0">
      <selection activeCell="S1" sqref="S1"/>
    </sheetView>
  </sheetViews>
  <sheetFormatPr defaultRowHeight="14.4" x14ac:dyDescent="0.3"/>
  <cols>
    <col min="1" max="1" width="16.109375" bestFit="1" customWidth="1"/>
    <col min="2" max="2" width="10.33203125" bestFit="1" customWidth="1"/>
    <col min="3" max="3" width="13.33203125" bestFit="1" customWidth="1"/>
    <col min="4" max="4" width="11.33203125" bestFit="1" customWidth="1"/>
    <col min="5" max="5" width="18" bestFit="1" customWidth="1"/>
    <col min="6" max="6" width="15.6640625" bestFit="1" customWidth="1"/>
    <col min="7" max="7" width="12" bestFit="1" customWidth="1"/>
    <col min="8" max="8" width="14.21875" bestFit="1" customWidth="1"/>
    <col min="9" max="9" width="20.88671875" bestFit="1" customWidth="1"/>
    <col min="10" max="10" width="13.5546875" bestFit="1" customWidth="1"/>
    <col min="11" max="11" width="16.6640625" bestFit="1" customWidth="1"/>
    <col min="12" max="12" width="11.5546875" bestFit="1" customWidth="1"/>
    <col min="13" max="13" width="14.88671875" bestFit="1" customWidth="1"/>
    <col min="14" max="14" width="12" bestFit="1" customWidth="1"/>
    <col min="15" max="15" width="17.88671875" bestFit="1" customWidth="1"/>
    <col min="16" max="16" width="33.5546875" bestFit="1" customWidth="1"/>
    <col min="17" max="17" width="25" bestFit="1" customWidth="1"/>
    <col min="18" max="18" width="11.33203125" bestFit="1" customWidth="1"/>
    <col min="19" max="19" width="9.88671875" bestFit="1" customWidth="1"/>
  </cols>
  <sheetData>
    <row r="1" spans="1:19" x14ac:dyDescent="0.3">
      <c r="A1" t="s">
        <v>0</v>
      </c>
      <c r="B1" t="s">
        <v>121</v>
      </c>
      <c r="C1" t="s">
        <v>1</v>
      </c>
      <c r="D1" t="s">
        <v>2</v>
      </c>
      <c r="E1" t="s">
        <v>3</v>
      </c>
      <c r="F1" t="s">
        <v>5</v>
      </c>
      <c r="G1" t="s">
        <v>6</v>
      </c>
      <c r="H1" t="s">
        <v>7</v>
      </c>
      <c r="I1" t="s">
        <v>8</v>
      </c>
      <c r="J1" t="s">
        <v>9</v>
      </c>
      <c r="K1" t="s">
        <v>10</v>
      </c>
      <c r="L1" t="s">
        <v>11</v>
      </c>
      <c r="M1" t="s">
        <v>12</v>
      </c>
      <c r="N1" t="s">
        <v>148</v>
      </c>
      <c r="O1" t="s">
        <v>103</v>
      </c>
      <c r="P1" t="s">
        <v>171</v>
      </c>
      <c r="Q1" t="s">
        <v>172</v>
      </c>
      <c r="R1" t="s">
        <v>193</v>
      </c>
      <c r="S1" t="s">
        <v>199</v>
      </c>
    </row>
    <row r="2" spans="1:19" x14ac:dyDescent="0.3">
      <c r="A2" t="s">
        <v>13</v>
      </c>
      <c r="B2" s="1">
        <v>42284</v>
      </c>
      <c r="C2" t="s">
        <v>122</v>
      </c>
      <c r="D2" t="s">
        <v>14</v>
      </c>
      <c r="E2" t="s">
        <v>17</v>
      </c>
      <c r="F2" t="s">
        <v>18</v>
      </c>
      <c r="G2">
        <v>175</v>
      </c>
      <c r="H2">
        <v>410</v>
      </c>
      <c r="I2">
        <v>640</v>
      </c>
      <c r="J2">
        <v>220</v>
      </c>
      <c r="K2" t="s">
        <v>15</v>
      </c>
      <c r="L2">
        <v>95</v>
      </c>
      <c r="M2" t="s">
        <v>19</v>
      </c>
      <c r="N2">
        <v>2.342857142857143</v>
      </c>
      <c r="O2" t="s">
        <v>105</v>
      </c>
      <c r="P2">
        <v>27.5</v>
      </c>
      <c r="Q2">
        <v>2015</v>
      </c>
      <c r="R2">
        <v>23.27</v>
      </c>
      <c r="S2">
        <v>1</v>
      </c>
    </row>
    <row r="3" spans="1:19" x14ac:dyDescent="0.3">
      <c r="A3" t="s">
        <v>13</v>
      </c>
      <c r="B3" s="1">
        <v>42284</v>
      </c>
      <c r="C3" t="s">
        <v>122</v>
      </c>
      <c r="D3" t="s">
        <v>14</v>
      </c>
      <c r="E3" t="s">
        <v>17</v>
      </c>
      <c r="F3" t="s">
        <v>18</v>
      </c>
      <c r="G3">
        <v>175</v>
      </c>
      <c r="H3">
        <v>410</v>
      </c>
      <c r="I3">
        <v>640</v>
      </c>
      <c r="J3">
        <v>220</v>
      </c>
      <c r="K3" t="s">
        <v>15</v>
      </c>
      <c r="L3">
        <v>95</v>
      </c>
      <c r="M3" t="s">
        <v>19</v>
      </c>
      <c r="N3">
        <v>2.342857142857143</v>
      </c>
      <c r="O3" t="s">
        <v>153</v>
      </c>
      <c r="P3">
        <v>0</v>
      </c>
      <c r="S3">
        <v>1</v>
      </c>
    </row>
    <row r="4" spans="1:19" x14ac:dyDescent="0.3">
      <c r="A4" t="s">
        <v>150</v>
      </c>
      <c r="B4" s="1">
        <v>44645</v>
      </c>
      <c r="C4" t="s">
        <v>122</v>
      </c>
      <c r="D4" t="s">
        <v>14</v>
      </c>
      <c r="E4" t="s">
        <v>21</v>
      </c>
      <c r="F4" t="s">
        <v>194</v>
      </c>
      <c r="G4">
        <v>550</v>
      </c>
      <c r="H4">
        <v>900</v>
      </c>
      <c r="I4">
        <v>1200</v>
      </c>
      <c r="J4">
        <v>300</v>
      </c>
      <c r="K4" t="s">
        <v>15</v>
      </c>
      <c r="L4">
        <v>120</v>
      </c>
      <c r="M4" t="s">
        <v>16</v>
      </c>
      <c r="N4">
        <v>1.6363636363636365</v>
      </c>
      <c r="O4" t="s">
        <v>120</v>
      </c>
      <c r="P4">
        <v>100</v>
      </c>
      <c r="Q4">
        <v>2022</v>
      </c>
      <c r="R4">
        <v>12</v>
      </c>
      <c r="S4">
        <v>1</v>
      </c>
    </row>
    <row r="5" spans="1:19" x14ac:dyDescent="0.3">
      <c r="A5" t="s">
        <v>150</v>
      </c>
      <c r="B5" s="1">
        <v>44645</v>
      </c>
      <c r="C5" t="s">
        <v>122</v>
      </c>
      <c r="D5" t="s">
        <v>14</v>
      </c>
      <c r="E5" t="s">
        <v>21</v>
      </c>
      <c r="F5" t="s">
        <v>194</v>
      </c>
      <c r="G5">
        <v>550</v>
      </c>
      <c r="H5">
        <v>900</v>
      </c>
      <c r="I5">
        <v>1200</v>
      </c>
      <c r="J5">
        <v>300</v>
      </c>
      <c r="K5" t="s">
        <v>15</v>
      </c>
      <c r="L5">
        <v>120</v>
      </c>
      <c r="M5" t="s">
        <v>16</v>
      </c>
      <c r="N5">
        <v>1.6363636363636365</v>
      </c>
      <c r="O5" t="s">
        <v>119</v>
      </c>
      <c r="P5">
        <v>100</v>
      </c>
      <c r="Q5">
        <v>2022</v>
      </c>
      <c r="R5">
        <v>12</v>
      </c>
      <c r="S5">
        <v>1</v>
      </c>
    </row>
    <row r="6" spans="1:19" x14ac:dyDescent="0.3">
      <c r="A6" t="s">
        <v>151</v>
      </c>
      <c r="B6" s="1">
        <v>44665</v>
      </c>
      <c r="C6" t="s">
        <v>125</v>
      </c>
      <c r="D6" t="s">
        <v>23</v>
      </c>
      <c r="E6" t="s">
        <v>24</v>
      </c>
      <c r="F6" t="s">
        <v>18</v>
      </c>
      <c r="G6">
        <v>100</v>
      </c>
      <c r="H6">
        <v>800</v>
      </c>
      <c r="I6">
        <v>1200</v>
      </c>
      <c r="J6">
        <v>400</v>
      </c>
      <c r="K6" t="s">
        <v>25</v>
      </c>
      <c r="L6">
        <v>110</v>
      </c>
      <c r="M6" t="s">
        <v>26</v>
      </c>
      <c r="N6">
        <v>8</v>
      </c>
      <c r="O6" t="s">
        <v>44</v>
      </c>
      <c r="P6">
        <v>40</v>
      </c>
      <c r="Q6">
        <v>2022</v>
      </c>
      <c r="R6">
        <v>30</v>
      </c>
      <c r="S6">
        <v>1</v>
      </c>
    </row>
    <row r="7" spans="1:19" x14ac:dyDescent="0.3">
      <c r="A7" t="s">
        <v>27</v>
      </c>
      <c r="B7" s="1">
        <v>44547</v>
      </c>
      <c r="C7" t="s">
        <v>122</v>
      </c>
      <c r="D7" t="s">
        <v>14</v>
      </c>
      <c r="E7" t="s">
        <v>28</v>
      </c>
      <c r="F7" t="s">
        <v>194</v>
      </c>
      <c r="G7">
        <v>150</v>
      </c>
      <c r="H7">
        <v>350</v>
      </c>
      <c r="I7">
        <v>500</v>
      </c>
      <c r="J7">
        <v>150</v>
      </c>
      <c r="K7" t="s">
        <v>29</v>
      </c>
      <c r="L7">
        <v>90</v>
      </c>
      <c r="M7" t="s">
        <v>19</v>
      </c>
      <c r="N7">
        <v>2.3333333333333335</v>
      </c>
      <c r="O7" t="s">
        <v>106</v>
      </c>
      <c r="P7">
        <v>40</v>
      </c>
      <c r="Q7">
        <v>2021</v>
      </c>
      <c r="R7">
        <v>12.5</v>
      </c>
      <c r="S7">
        <v>1</v>
      </c>
    </row>
    <row r="8" spans="1:19" x14ac:dyDescent="0.3">
      <c r="A8" t="s">
        <v>151</v>
      </c>
      <c r="B8" s="1">
        <v>44665</v>
      </c>
      <c r="C8" t="s">
        <v>125</v>
      </c>
      <c r="D8" t="s">
        <v>23</v>
      </c>
      <c r="E8" t="s">
        <v>24</v>
      </c>
      <c r="F8" t="s">
        <v>18</v>
      </c>
      <c r="G8">
        <v>100</v>
      </c>
      <c r="H8">
        <v>800</v>
      </c>
      <c r="I8">
        <v>1200</v>
      </c>
      <c r="J8">
        <v>400</v>
      </c>
      <c r="K8" t="s">
        <v>25</v>
      </c>
      <c r="L8">
        <v>110</v>
      </c>
      <c r="M8" t="s">
        <v>26</v>
      </c>
      <c r="N8">
        <v>8</v>
      </c>
      <c r="O8" t="s">
        <v>154</v>
      </c>
      <c r="P8">
        <v>0</v>
      </c>
      <c r="S8">
        <v>1</v>
      </c>
    </row>
    <row r="9" spans="1:19" x14ac:dyDescent="0.3">
      <c r="A9" t="s">
        <v>30</v>
      </c>
      <c r="B9" s="1">
        <v>45176</v>
      </c>
      <c r="C9" t="s">
        <v>128</v>
      </c>
      <c r="D9" t="s">
        <v>31</v>
      </c>
      <c r="E9" t="s">
        <v>32</v>
      </c>
      <c r="F9" t="s">
        <v>18</v>
      </c>
      <c r="G9">
        <v>300</v>
      </c>
      <c r="H9">
        <v>640</v>
      </c>
      <c r="I9">
        <v>1100</v>
      </c>
      <c r="J9">
        <v>460</v>
      </c>
      <c r="K9" t="s">
        <v>15</v>
      </c>
      <c r="L9">
        <v>85</v>
      </c>
      <c r="M9" t="s">
        <v>16</v>
      </c>
      <c r="N9">
        <v>2.1333333333333333</v>
      </c>
      <c r="O9" t="s">
        <v>107</v>
      </c>
      <c r="P9">
        <v>110</v>
      </c>
      <c r="Q9">
        <v>2023</v>
      </c>
      <c r="R9">
        <v>10</v>
      </c>
      <c r="S9">
        <v>1</v>
      </c>
    </row>
    <row r="10" spans="1:19" x14ac:dyDescent="0.3">
      <c r="A10" t="s">
        <v>33</v>
      </c>
      <c r="B10" s="1">
        <v>42727</v>
      </c>
      <c r="C10" t="s">
        <v>128</v>
      </c>
      <c r="D10" t="s">
        <v>31</v>
      </c>
      <c r="E10" t="s">
        <v>34</v>
      </c>
      <c r="F10" t="s">
        <v>35</v>
      </c>
      <c r="G10">
        <v>70</v>
      </c>
      <c r="H10">
        <v>387</v>
      </c>
      <c r="I10">
        <v>2000</v>
      </c>
      <c r="J10">
        <v>1600</v>
      </c>
      <c r="K10" t="s">
        <v>36</v>
      </c>
      <c r="L10">
        <v>150</v>
      </c>
      <c r="M10" t="s">
        <v>37</v>
      </c>
      <c r="N10">
        <v>5.5285714285714285</v>
      </c>
      <c r="O10" t="s">
        <v>108</v>
      </c>
      <c r="P10">
        <v>60</v>
      </c>
      <c r="Q10">
        <v>2016</v>
      </c>
      <c r="R10">
        <v>33.33</v>
      </c>
      <c r="S10">
        <v>1</v>
      </c>
    </row>
    <row r="11" spans="1:19" x14ac:dyDescent="0.3">
      <c r="A11" t="s">
        <v>27</v>
      </c>
      <c r="B11" s="1">
        <v>44547</v>
      </c>
      <c r="C11" t="s">
        <v>122</v>
      </c>
      <c r="D11" t="s">
        <v>14</v>
      </c>
      <c r="E11" t="s">
        <v>28</v>
      </c>
      <c r="F11" t="s">
        <v>194</v>
      </c>
      <c r="G11">
        <v>150</v>
      </c>
      <c r="H11">
        <v>350</v>
      </c>
      <c r="I11">
        <v>500</v>
      </c>
      <c r="J11">
        <v>150</v>
      </c>
      <c r="K11" t="s">
        <v>29</v>
      </c>
      <c r="L11">
        <v>90</v>
      </c>
      <c r="M11" t="s">
        <v>19</v>
      </c>
      <c r="N11">
        <v>2.3333333333333335</v>
      </c>
      <c r="O11" t="s">
        <v>155</v>
      </c>
      <c r="P11">
        <v>0</v>
      </c>
      <c r="S11">
        <v>1</v>
      </c>
    </row>
    <row r="12" spans="1:19" x14ac:dyDescent="0.3">
      <c r="A12" t="s">
        <v>38</v>
      </c>
      <c r="B12" s="1">
        <v>45218</v>
      </c>
      <c r="C12" t="s">
        <v>131</v>
      </c>
      <c r="D12" t="s">
        <v>39</v>
      </c>
      <c r="E12" t="s">
        <v>40</v>
      </c>
      <c r="F12" t="s">
        <v>18</v>
      </c>
      <c r="G12">
        <v>250</v>
      </c>
      <c r="H12">
        <v>350</v>
      </c>
      <c r="I12">
        <v>600</v>
      </c>
      <c r="J12">
        <v>250</v>
      </c>
      <c r="K12" t="s">
        <v>29</v>
      </c>
      <c r="L12">
        <v>80</v>
      </c>
      <c r="M12" t="s">
        <v>16</v>
      </c>
      <c r="N12">
        <v>1.4</v>
      </c>
      <c r="O12" t="s">
        <v>109</v>
      </c>
      <c r="P12">
        <v>80</v>
      </c>
      <c r="Q12">
        <v>2023</v>
      </c>
      <c r="R12">
        <v>7.5</v>
      </c>
      <c r="S12">
        <v>1</v>
      </c>
    </row>
    <row r="13" spans="1:19" x14ac:dyDescent="0.3">
      <c r="A13" t="s">
        <v>41</v>
      </c>
      <c r="B13" s="1">
        <v>44626</v>
      </c>
      <c r="C13" t="s">
        <v>131</v>
      </c>
      <c r="D13" t="s">
        <v>39</v>
      </c>
      <c r="E13" t="s">
        <v>42</v>
      </c>
      <c r="F13" t="s">
        <v>18</v>
      </c>
      <c r="G13">
        <v>120</v>
      </c>
      <c r="H13">
        <v>250</v>
      </c>
      <c r="I13">
        <v>450</v>
      </c>
      <c r="J13">
        <v>200</v>
      </c>
      <c r="K13" t="s">
        <v>15</v>
      </c>
      <c r="L13">
        <v>90</v>
      </c>
      <c r="M13" t="s">
        <v>37</v>
      </c>
      <c r="N13">
        <v>2.0833333333333335</v>
      </c>
      <c r="O13" t="s">
        <v>110</v>
      </c>
      <c r="P13">
        <v>50</v>
      </c>
      <c r="Q13">
        <v>2022</v>
      </c>
      <c r="R13">
        <v>9</v>
      </c>
      <c r="S13">
        <v>1</v>
      </c>
    </row>
    <row r="14" spans="1:19" x14ac:dyDescent="0.3">
      <c r="A14" t="s">
        <v>30</v>
      </c>
      <c r="B14" s="1">
        <v>45176</v>
      </c>
      <c r="C14" t="s">
        <v>128</v>
      </c>
      <c r="D14" t="s">
        <v>31</v>
      </c>
      <c r="E14" t="s">
        <v>32</v>
      </c>
      <c r="F14" t="s">
        <v>18</v>
      </c>
      <c r="G14">
        <v>300</v>
      </c>
      <c r="H14">
        <v>640</v>
      </c>
      <c r="I14">
        <v>1100</v>
      </c>
      <c r="J14">
        <v>460</v>
      </c>
      <c r="K14" t="s">
        <v>15</v>
      </c>
      <c r="L14">
        <v>85</v>
      </c>
      <c r="M14" t="s">
        <v>16</v>
      </c>
      <c r="N14">
        <v>2.1333333333333333</v>
      </c>
      <c r="O14" t="s">
        <v>156</v>
      </c>
      <c r="P14">
        <v>0</v>
      </c>
      <c r="S14">
        <v>1</v>
      </c>
    </row>
    <row r="15" spans="1:19" x14ac:dyDescent="0.3">
      <c r="A15" t="s">
        <v>57</v>
      </c>
      <c r="B15" s="1">
        <v>45282</v>
      </c>
      <c r="C15" t="s">
        <v>122</v>
      </c>
      <c r="D15" t="s">
        <v>14</v>
      </c>
      <c r="E15" t="s">
        <v>24</v>
      </c>
      <c r="F15" t="s">
        <v>18</v>
      </c>
      <c r="G15">
        <v>400</v>
      </c>
      <c r="H15">
        <v>500</v>
      </c>
      <c r="I15">
        <v>900</v>
      </c>
      <c r="J15">
        <v>400</v>
      </c>
      <c r="K15" t="s">
        <v>29</v>
      </c>
      <c r="L15">
        <v>80</v>
      </c>
      <c r="M15" t="s">
        <v>16</v>
      </c>
      <c r="N15">
        <v>1.25</v>
      </c>
      <c r="O15" t="s">
        <v>105</v>
      </c>
      <c r="P15">
        <v>120</v>
      </c>
      <c r="Q15">
        <v>2023</v>
      </c>
      <c r="R15">
        <v>7.5</v>
      </c>
      <c r="S15">
        <v>1</v>
      </c>
    </row>
    <row r="16" spans="1:19" x14ac:dyDescent="0.3">
      <c r="A16" t="s">
        <v>58</v>
      </c>
      <c r="B16" s="1">
        <v>45148</v>
      </c>
      <c r="C16" t="s">
        <v>131</v>
      </c>
      <c r="D16" t="s">
        <v>39</v>
      </c>
      <c r="E16" t="s">
        <v>59</v>
      </c>
      <c r="F16" t="s">
        <v>18</v>
      </c>
      <c r="G16">
        <v>200</v>
      </c>
      <c r="H16">
        <v>350</v>
      </c>
      <c r="I16">
        <v>600</v>
      </c>
      <c r="J16">
        <v>250</v>
      </c>
      <c r="K16" t="s">
        <v>15</v>
      </c>
      <c r="L16">
        <v>90</v>
      </c>
      <c r="M16" t="s">
        <v>26</v>
      </c>
      <c r="N16">
        <v>1.75</v>
      </c>
      <c r="O16" t="s">
        <v>60</v>
      </c>
      <c r="P16">
        <v>110</v>
      </c>
      <c r="Q16">
        <v>2023</v>
      </c>
      <c r="R16">
        <v>5.45</v>
      </c>
      <c r="S16">
        <v>1</v>
      </c>
    </row>
    <row r="17" spans="1:19" x14ac:dyDescent="0.3">
      <c r="A17" t="s">
        <v>33</v>
      </c>
      <c r="B17" s="1">
        <v>42727</v>
      </c>
      <c r="C17" t="s">
        <v>128</v>
      </c>
      <c r="D17" t="s">
        <v>31</v>
      </c>
      <c r="E17" t="s">
        <v>34</v>
      </c>
      <c r="F17" t="s">
        <v>35</v>
      </c>
      <c r="G17">
        <v>70</v>
      </c>
      <c r="H17">
        <v>387</v>
      </c>
      <c r="I17">
        <v>2000</v>
      </c>
      <c r="J17">
        <v>1600</v>
      </c>
      <c r="K17" t="s">
        <v>36</v>
      </c>
      <c r="L17">
        <v>150</v>
      </c>
      <c r="M17" t="s">
        <v>37</v>
      </c>
      <c r="N17">
        <v>5.5285714285714285</v>
      </c>
      <c r="O17" t="s">
        <v>157</v>
      </c>
      <c r="P17">
        <v>0</v>
      </c>
      <c r="S17">
        <v>1</v>
      </c>
    </row>
    <row r="18" spans="1:19" x14ac:dyDescent="0.3">
      <c r="A18" t="s">
        <v>61</v>
      </c>
      <c r="B18" s="1">
        <v>45261</v>
      </c>
      <c r="C18" t="s">
        <v>128</v>
      </c>
      <c r="D18" t="s">
        <v>31</v>
      </c>
      <c r="E18" t="s">
        <v>62</v>
      </c>
      <c r="F18" t="s">
        <v>194</v>
      </c>
      <c r="G18">
        <v>200</v>
      </c>
      <c r="H18">
        <v>600</v>
      </c>
      <c r="I18">
        <v>900</v>
      </c>
      <c r="J18">
        <v>300</v>
      </c>
      <c r="K18" t="s">
        <v>25</v>
      </c>
      <c r="L18">
        <v>85</v>
      </c>
      <c r="M18" t="s">
        <v>16</v>
      </c>
      <c r="N18">
        <v>3</v>
      </c>
      <c r="O18" t="s">
        <v>63</v>
      </c>
      <c r="P18">
        <v>70</v>
      </c>
      <c r="Q18">
        <v>2023</v>
      </c>
      <c r="R18">
        <v>12.86</v>
      </c>
      <c r="S18">
        <v>1</v>
      </c>
    </row>
    <row r="19" spans="1:19" x14ac:dyDescent="0.3">
      <c r="A19" t="s">
        <v>54</v>
      </c>
      <c r="B19" s="1">
        <v>45242</v>
      </c>
      <c r="C19" t="s">
        <v>128</v>
      </c>
      <c r="D19" t="s">
        <v>31</v>
      </c>
      <c r="E19" t="s">
        <v>55</v>
      </c>
      <c r="F19" t="s">
        <v>18</v>
      </c>
      <c r="G19">
        <v>300</v>
      </c>
      <c r="H19">
        <v>280</v>
      </c>
      <c r="I19">
        <v>450</v>
      </c>
      <c r="J19">
        <v>170</v>
      </c>
      <c r="K19" t="s">
        <v>56</v>
      </c>
      <c r="L19">
        <v>50</v>
      </c>
      <c r="M19" t="s">
        <v>26</v>
      </c>
      <c r="N19">
        <v>0.93333333333333335</v>
      </c>
      <c r="O19" t="s">
        <v>111</v>
      </c>
      <c r="P19">
        <v>100</v>
      </c>
      <c r="Q19">
        <v>2023</v>
      </c>
      <c r="R19">
        <v>4.5</v>
      </c>
      <c r="S19">
        <v>0</v>
      </c>
    </row>
    <row r="20" spans="1:19" x14ac:dyDescent="0.3">
      <c r="A20" t="s">
        <v>38</v>
      </c>
      <c r="B20" s="1">
        <v>45218</v>
      </c>
      <c r="C20" t="s">
        <v>131</v>
      </c>
      <c r="D20" t="s">
        <v>39</v>
      </c>
      <c r="E20" t="s">
        <v>40</v>
      </c>
      <c r="F20" t="s">
        <v>18</v>
      </c>
      <c r="G20">
        <v>250</v>
      </c>
      <c r="H20">
        <v>350</v>
      </c>
      <c r="I20">
        <v>600</v>
      </c>
      <c r="J20">
        <v>250</v>
      </c>
      <c r="K20" t="s">
        <v>29</v>
      </c>
      <c r="L20">
        <v>80</v>
      </c>
      <c r="M20" t="s">
        <v>16</v>
      </c>
      <c r="N20">
        <v>1.4</v>
      </c>
      <c r="O20" t="s">
        <v>158</v>
      </c>
      <c r="P20">
        <v>0</v>
      </c>
      <c r="S20">
        <v>1</v>
      </c>
    </row>
    <row r="21" spans="1:19" x14ac:dyDescent="0.3">
      <c r="A21" t="s">
        <v>51</v>
      </c>
      <c r="B21" s="1">
        <v>44883</v>
      </c>
      <c r="C21" t="s">
        <v>128</v>
      </c>
      <c r="D21" t="s">
        <v>31</v>
      </c>
      <c r="E21" t="s">
        <v>52</v>
      </c>
      <c r="F21" t="s">
        <v>53</v>
      </c>
      <c r="G21">
        <v>50</v>
      </c>
      <c r="H21">
        <v>240</v>
      </c>
      <c r="I21">
        <v>350</v>
      </c>
      <c r="J21">
        <v>110</v>
      </c>
      <c r="K21" t="s">
        <v>29</v>
      </c>
      <c r="L21">
        <v>70</v>
      </c>
      <c r="M21" t="s">
        <v>37</v>
      </c>
      <c r="N21">
        <v>4.8</v>
      </c>
      <c r="O21" t="s">
        <v>112</v>
      </c>
      <c r="P21">
        <v>30</v>
      </c>
      <c r="Q21">
        <v>2022</v>
      </c>
      <c r="R21">
        <v>11.67</v>
      </c>
      <c r="S21">
        <v>1</v>
      </c>
    </row>
    <row r="22" spans="1:19" x14ac:dyDescent="0.3">
      <c r="A22" t="s">
        <v>45</v>
      </c>
      <c r="B22" s="1">
        <v>43506</v>
      </c>
      <c r="C22" t="s">
        <v>128</v>
      </c>
      <c r="D22" t="s">
        <v>31</v>
      </c>
      <c r="E22" t="s">
        <v>46</v>
      </c>
      <c r="F22" t="s">
        <v>18</v>
      </c>
      <c r="G22">
        <v>170</v>
      </c>
      <c r="H22">
        <v>300</v>
      </c>
      <c r="I22">
        <v>475</v>
      </c>
      <c r="J22">
        <v>175</v>
      </c>
      <c r="K22" t="s">
        <v>29</v>
      </c>
      <c r="L22">
        <v>70</v>
      </c>
      <c r="M22" t="s">
        <v>26</v>
      </c>
      <c r="N22">
        <v>1.7647058823529411</v>
      </c>
      <c r="O22" t="s">
        <v>113</v>
      </c>
      <c r="P22">
        <v>60</v>
      </c>
      <c r="Q22">
        <v>2019</v>
      </c>
      <c r="R22">
        <v>7.92</v>
      </c>
      <c r="S22">
        <v>1</v>
      </c>
    </row>
    <row r="23" spans="1:19" x14ac:dyDescent="0.3">
      <c r="A23" t="s">
        <v>41</v>
      </c>
      <c r="B23" s="1">
        <v>44626</v>
      </c>
      <c r="C23" t="s">
        <v>131</v>
      </c>
      <c r="D23" t="s">
        <v>39</v>
      </c>
      <c r="E23" t="s">
        <v>42</v>
      </c>
      <c r="F23" t="s">
        <v>18</v>
      </c>
      <c r="G23">
        <v>120</v>
      </c>
      <c r="H23">
        <v>250</v>
      </c>
      <c r="I23">
        <v>450</v>
      </c>
      <c r="J23">
        <v>200</v>
      </c>
      <c r="K23" t="s">
        <v>15</v>
      </c>
      <c r="L23">
        <v>90</v>
      </c>
      <c r="M23" t="s">
        <v>37</v>
      </c>
      <c r="N23">
        <v>2.0833333333333335</v>
      </c>
      <c r="O23" t="s">
        <v>88</v>
      </c>
      <c r="P23">
        <v>0</v>
      </c>
      <c r="S23">
        <v>1</v>
      </c>
    </row>
    <row r="24" spans="1:19" x14ac:dyDescent="0.3">
      <c r="A24" t="s">
        <v>49</v>
      </c>
      <c r="B24" s="1">
        <v>44834</v>
      </c>
      <c r="C24" t="s">
        <v>125</v>
      </c>
      <c r="D24" t="s">
        <v>23</v>
      </c>
      <c r="E24" t="s">
        <v>50</v>
      </c>
      <c r="F24" t="s">
        <v>35</v>
      </c>
      <c r="G24">
        <v>20</v>
      </c>
      <c r="H24">
        <v>300</v>
      </c>
      <c r="I24">
        <v>350</v>
      </c>
      <c r="J24">
        <v>50</v>
      </c>
      <c r="K24" t="s">
        <v>15</v>
      </c>
      <c r="L24">
        <v>120</v>
      </c>
      <c r="M24" t="s">
        <v>16</v>
      </c>
      <c r="N24">
        <v>15</v>
      </c>
      <c r="O24" t="s">
        <v>50</v>
      </c>
      <c r="P24">
        <v>5</v>
      </c>
      <c r="Q24">
        <v>2022</v>
      </c>
      <c r="R24">
        <v>70</v>
      </c>
      <c r="S24">
        <v>1</v>
      </c>
    </row>
    <row r="25" spans="1:19" x14ac:dyDescent="0.3">
      <c r="A25" t="s">
        <v>159</v>
      </c>
      <c r="B25" s="1">
        <v>43455</v>
      </c>
      <c r="C25" t="s">
        <v>125</v>
      </c>
      <c r="D25" t="s">
        <v>23</v>
      </c>
      <c r="E25" t="s">
        <v>24</v>
      </c>
      <c r="F25" t="s">
        <v>18</v>
      </c>
      <c r="G25">
        <v>80</v>
      </c>
      <c r="H25">
        <v>240</v>
      </c>
      <c r="I25">
        <v>400</v>
      </c>
      <c r="J25">
        <v>160</v>
      </c>
      <c r="K25" t="s">
        <v>29</v>
      </c>
      <c r="L25">
        <v>85</v>
      </c>
      <c r="M25" t="s">
        <v>26</v>
      </c>
      <c r="N25">
        <v>3</v>
      </c>
      <c r="O25" t="s">
        <v>44</v>
      </c>
      <c r="P25">
        <v>0</v>
      </c>
      <c r="S25">
        <v>1</v>
      </c>
    </row>
    <row r="26" spans="1:19" x14ac:dyDescent="0.3">
      <c r="A26" t="s">
        <v>45</v>
      </c>
      <c r="B26" s="1">
        <v>43506</v>
      </c>
      <c r="C26" t="s">
        <v>128</v>
      </c>
      <c r="D26" t="s">
        <v>31</v>
      </c>
      <c r="E26" t="s">
        <v>46</v>
      </c>
      <c r="F26" t="s">
        <v>18</v>
      </c>
      <c r="G26">
        <v>170</v>
      </c>
      <c r="H26">
        <v>300</v>
      </c>
      <c r="I26">
        <v>475</v>
      </c>
      <c r="J26">
        <v>175</v>
      </c>
      <c r="K26" t="s">
        <v>29</v>
      </c>
      <c r="L26">
        <v>70</v>
      </c>
      <c r="M26" t="s">
        <v>26</v>
      </c>
      <c r="N26">
        <v>1.7647058823529411</v>
      </c>
      <c r="O26" t="s">
        <v>160</v>
      </c>
      <c r="P26">
        <v>0</v>
      </c>
      <c r="S26">
        <v>1</v>
      </c>
    </row>
    <row r="27" spans="1:19" x14ac:dyDescent="0.3">
      <c r="A27" t="s">
        <v>47</v>
      </c>
      <c r="B27" s="1">
        <v>44951</v>
      </c>
      <c r="C27" t="s">
        <v>128</v>
      </c>
      <c r="D27" t="s">
        <v>31</v>
      </c>
      <c r="E27" t="s">
        <v>46</v>
      </c>
      <c r="F27" t="s">
        <v>18</v>
      </c>
      <c r="G27">
        <v>250</v>
      </c>
      <c r="H27">
        <v>540</v>
      </c>
      <c r="I27">
        <v>1050</v>
      </c>
      <c r="J27">
        <v>510</v>
      </c>
      <c r="K27" t="s">
        <v>15</v>
      </c>
      <c r="L27">
        <v>95</v>
      </c>
      <c r="M27" t="s">
        <v>26</v>
      </c>
      <c r="N27">
        <v>2.16</v>
      </c>
      <c r="O27" t="s">
        <v>107</v>
      </c>
      <c r="P27">
        <v>0</v>
      </c>
      <c r="S27">
        <v>1</v>
      </c>
    </row>
    <row r="28" spans="1:19" x14ac:dyDescent="0.3">
      <c r="A28" t="s">
        <v>47</v>
      </c>
      <c r="B28" s="1">
        <v>44951</v>
      </c>
      <c r="C28" t="s">
        <v>128</v>
      </c>
      <c r="D28" t="s">
        <v>31</v>
      </c>
      <c r="E28" t="s">
        <v>46</v>
      </c>
      <c r="F28" t="s">
        <v>18</v>
      </c>
      <c r="G28">
        <v>250</v>
      </c>
      <c r="H28">
        <v>540</v>
      </c>
      <c r="I28">
        <v>1050</v>
      </c>
      <c r="J28">
        <v>510</v>
      </c>
      <c r="K28" t="s">
        <v>15</v>
      </c>
      <c r="L28">
        <v>95</v>
      </c>
      <c r="M28" t="s">
        <v>26</v>
      </c>
      <c r="N28">
        <v>2.16</v>
      </c>
      <c r="O28" t="s">
        <v>161</v>
      </c>
      <c r="P28">
        <v>0</v>
      </c>
      <c r="S28">
        <v>1</v>
      </c>
    </row>
    <row r="29" spans="1:19" x14ac:dyDescent="0.3">
      <c r="A29" t="s">
        <v>48</v>
      </c>
      <c r="B29" s="1">
        <v>44209</v>
      </c>
      <c r="C29" t="s">
        <v>131</v>
      </c>
      <c r="D29" t="s">
        <v>39</v>
      </c>
      <c r="E29" t="s">
        <v>40</v>
      </c>
      <c r="F29" t="s">
        <v>18</v>
      </c>
      <c r="G29">
        <v>130</v>
      </c>
      <c r="H29">
        <v>240</v>
      </c>
      <c r="I29">
        <v>350</v>
      </c>
      <c r="J29">
        <v>110</v>
      </c>
      <c r="K29" t="s">
        <v>29</v>
      </c>
      <c r="L29">
        <v>60</v>
      </c>
      <c r="M29" t="s">
        <v>26</v>
      </c>
      <c r="N29">
        <v>1.8461538461538463</v>
      </c>
      <c r="O29" t="s">
        <v>109</v>
      </c>
      <c r="P29">
        <v>0</v>
      </c>
      <c r="S29">
        <v>1</v>
      </c>
    </row>
    <row r="30" spans="1:19" x14ac:dyDescent="0.3">
      <c r="A30" t="s">
        <v>48</v>
      </c>
      <c r="B30" s="1">
        <v>44209</v>
      </c>
      <c r="C30" t="s">
        <v>131</v>
      </c>
      <c r="D30" t="s">
        <v>39</v>
      </c>
      <c r="E30" t="s">
        <v>40</v>
      </c>
      <c r="F30" t="s">
        <v>18</v>
      </c>
      <c r="G30">
        <v>130</v>
      </c>
      <c r="H30">
        <v>240</v>
      </c>
      <c r="I30">
        <v>350</v>
      </c>
      <c r="J30">
        <v>110</v>
      </c>
      <c r="K30" t="s">
        <v>29</v>
      </c>
      <c r="L30">
        <v>60</v>
      </c>
      <c r="M30" t="s">
        <v>26</v>
      </c>
      <c r="N30">
        <v>1.8461538461538463</v>
      </c>
      <c r="O30" t="s">
        <v>162</v>
      </c>
      <c r="P30">
        <v>0</v>
      </c>
      <c r="S30">
        <v>1</v>
      </c>
    </row>
    <row r="31" spans="1:19" x14ac:dyDescent="0.3">
      <c r="A31" t="s">
        <v>51</v>
      </c>
      <c r="B31" s="1">
        <v>44883</v>
      </c>
      <c r="C31" t="s">
        <v>128</v>
      </c>
      <c r="D31" t="s">
        <v>31</v>
      </c>
      <c r="E31" t="s">
        <v>52</v>
      </c>
      <c r="F31" t="s">
        <v>53</v>
      </c>
      <c r="G31">
        <v>50</v>
      </c>
      <c r="H31">
        <v>240</v>
      </c>
      <c r="I31">
        <v>350</v>
      </c>
      <c r="J31">
        <v>110</v>
      </c>
      <c r="K31" t="s">
        <v>29</v>
      </c>
      <c r="L31">
        <v>70</v>
      </c>
      <c r="M31" t="s">
        <v>37</v>
      </c>
      <c r="N31">
        <v>4.8</v>
      </c>
      <c r="O31" t="s">
        <v>163</v>
      </c>
      <c r="P31">
        <v>0</v>
      </c>
      <c r="S31">
        <v>1</v>
      </c>
    </row>
    <row r="32" spans="1:19" x14ac:dyDescent="0.3">
      <c r="A32" t="s">
        <v>54</v>
      </c>
      <c r="B32" s="1">
        <v>45242</v>
      </c>
      <c r="C32" t="s">
        <v>128</v>
      </c>
      <c r="D32" t="s">
        <v>31</v>
      </c>
      <c r="E32" t="s">
        <v>55</v>
      </c>
      <c r="F32" t="s">
        <v>18</v>
      </c>
      <c r="G32">
        <v>300</v>
      </c>
      <c r="H32">
        <v>280</v>
      </c>
      <c r="I32">
        <v>450</v>
      </c>
      <c r="J32">
        <v>170</v>
      </c>
      <c r="K32" t="s">
        <v>56</v>
      </c>
      <c r="L32">
        <v>50</v>
      </c>
      <c r="M32" t="s">
        <v>26</v>
      </c>
      <c r="N32">
        <v>0.93333333333333335</v>
      </c>
      <c r="O32" t="s">
        <v>164</v>
      </c>
      <c r="P32">
        <v>0</v>
      </c>
      <c r="S32">
        <v>0</v>
      </c>
    </row>
    <row r="33" spans="1:19" x14ac:dyDescent="0.3">
      <c r="A33" t="s">
        <v>57</v>
      </c>
      <c r="B33" s="1">
        <v>45282</v>
      </c>
      <c r="C33" t="s">
        <v>122</v>
      </c>
      <c r="D33" t="s">
        <v>14</v>
      </c>
      <c r="E33" t="s">
        <v>24</v>
      </c>
      <c r="F33" t="s">
        <v>18</v>
      </c>
      <c r="G33">
        <v>400</v>
      </c>
      <c r="H33">
        <v>500</v>
      </c>
      <c r="I33">
        <v>900</v>
      </c>
      <c r="J33">
        <v>400</v>
      </c>
      <c r="K33" t="s">
        <v>29</v>
      </c>
      <c r="L33">
        <v>80</v>
      </c>
      <c r="M33" t="s">
        <v>16</v>
      </c>
      <c r="N33">
        <v>1.25</v>
      </c>
      <c r="O33" t="s">
        <v>165</v>
      </c>
      <c r="P33">
        <v>0</v>
      </c>
      <c r="S33">
        <v>1</v>
      </c>
    </row>
    <row r="34" spans="1:19" x14ac:dyDescent="0.3">
      <c r="A34" t="s">
        <v>64</v>
      </c>
      <c r="B34" s="1">
        <v>43552</v>
      </c>
      <c r="C34" t="s">
        <v>139</v>
      </c>
      <c r="D34" t="s">
        <v>65</v>
      </c>
      <c r="E34" t="s">
        <v>66</v>
      </c>
      <c r="F34" t="s">
        <v>194</v>
      </c>
      <c r="G34">
        <v>30</v>
      </c>
      <c r="H34">
        <v>130</v>
      </c>
      <c r="I34">
        <v>200</v>
      </c>
      <c r="J34">
        <v>70</v>
      </c>
      <c r="K34" t="s">
        <v>15</v>
      </c>
      <c r="L34">
        <v>95</v>
      </c>
      <c r="M34" t="s">
        <v>26</v>
      </c>
      <c r="N34">
        <v>4.333333333333333</v>
      </c>
      <c r="O34" t="s">
        <v>67</v>
      </c>
      <c r="P34">
        <v>20</v>
      </c>
      <c r="Q34">
        <v>2019</v>
      </c>
      <c r="R34">
        <v>10</v>
      </c>
      <c r="S34">
        <v>1</v>
      </c>
    </row>
    <row r="35" spans="1:19" x14ac:dyDescent="0.3">
      <c r="A35" t="s">
        <v>68</v>
      </c>
      <c r="B35" s="1">
        <v>42650</v>
      </c>
      <c r="C35" t="s">
        <v>139</v>
      </c>
      <c r="D35" t="s">
        <v>65</v>
      </c>
      <c r="E35" t="s">
        <v>69</v>
      </c>
      <c r="F35" t="s">
        <v>18</v>
      </c>
      <c r="G35">
        <v>25</v>
      </c>
      <c r="H35">
        <v>100</v>
      </c>
      <c r="I35">
        <v>150</v>
      </c>
      <c r="J35">
        <v>50</v>
      </c>
      <c r="K35" t="s">
        <v>29</v>
      </c>
      <c r="L35">
        <v>80</v>
      </c>
      <c r="M35" t="s">
        <v>37</v>
      </c>
      <c r="N35">
        <v>4</v>
      </c>
      <c r="O35" t="s">
        <v>67</v>
      </c>
      <c r="P35">
        <v>20</v>
      </c>
      <c r="Q35">
        <v>2016</v>
      </c>
      <c r="R35">
        <v>7.5</v>
      </c>
      <c r="S35">
        <v>1</v>
      </c>
    </row>
    <row r="36" spans="1:19" x14ac:dyDescent="0.3">
      <c r="A36" t="s">
        <v>51</v>
      </c>
      <c r="B36" s="1">
        <v>44246</v>
      </c>
      <c r="C36" t="s">
        <v>139</v>
      </c>
      <c r="D36" t="s">
        <v>65</v>
      </c>
      <c r="E36" t="s">
        <v>70</v>
      </c>
      <c r="F36" t="s">
        <v>53</v>
      </c>
      <c r="G36">
        <v>50</v>
      </c>
      <c r="H36">
        <v>250</v>
      </c>
      <c r="I36">
        <v>300</v>
      </c>
      <c r="J36">
        <v>50</v>
      </c>
      <c r="K36" t="s">
        <v>25</v>
      </c>
      <c r="L36">
        <v>75</v>
      </c>
      <c r="M36" t="s">
        <v>37</v>
      </c>
      <c r="N36">
        <v>5</v>
      </c>
      <c r="O36" t="s">
        <v>67</v>
      </c>
      <c r="P36">
        <v>25</v>
      </c>
      <c r="Q36">
        <v>2021</v>
      </c>
      <c r="R36">
        <v>12</v>
      </c>
      <c r="S36">
        <v>1</v>
      </c>
    </row>
    <row r="37" spans="1:19" x14ac:dyDescent="0.3">
      <c r="A37" t="s">
        <v>71</v>
      </c>
      <c r="B37" s="1">
        <v>42153</v>
      </c>
      <c r="C37" t="s">
        <v>139</v>
      </c>
      <c r="D37" t="s">
        <v>65</v>
      </c>
      <c r="E37" t="s">
        <v>72</v>
      </c>
      <c r="F37" t="s">
        <v>195</v>
      </c>
      <c r="G37">
        <v>10</v>
      </c>
      <c r="H37">
        <v>60</v>
      </c>
      <c r="I37">
        <v>75</v>
      </c>
      <c r="J37">
        <v>15</v>
      </c>
      <c r="K37" t="s">
        <v>15</v>
      </c>
      <c r="L37">
        <v>120</v>
      </c>
      <c r="M37" t="s">
        <v>16</v>
      </c>
      <c r="N37">
        <v>6</v>
      </c>
      <c r="O37" t="s">
        <v>73</v>
      </c>
      <c r="P37">
        <v>5</v>
      </c>
      <c r="Q37">
        <v>2015</v>
      </c>
      <c r="R37">
        <v>15</v>
      </c>
      <c r="S37">
        <v>1</v>
      </c>
    </row>
    <row r="38" spans="1:19" x14ac:dyDescent="0.3">
      <c r="A38" t="s">
        <v>74</v>
      </c>
      <c r="B38" s="1">
        <v>44554</v>
      </c>
      <c r="C38" t="s">
        <v>139</v>
      </c>
      <c r="D38" t="s">
        <v>65</v>
      </c>
      <c r="E38" t="s">
        <v>75</v>
      </c>
      <c r="F38" t="s">
        <v>196</v>
      </c>
      <c r="G38">
        <v>18</v>
      </c>
      <c r="H38">
        <v>50</v>
      </c>
      <c r="I38">
        <v>70</v>
      </c>
      <c r="J38">
        <v>20</v>
      </c>
      <c r="K38" t="s">
        <v>29</v>
      </c>
      <c r="L38">
        <v>65</v>
      </c>
      <c r="M38" t="s">
        <v>16</v>
      </c>
      <c r="N38">
        <v>2.7777777777777777</v>
      </c>
      <c r="O38" t="s">
        <v>76</v>
      </c>
      <c r="P38">
        <v>8</v>
      </c>
      <c r="Q38">
        <v>2021</v>
      </c>
      <c r="R38">
        <v>8.75</v>
      </c>
      <c r="S38">
        <v>1</v>
      </c>
    </row>
    <row r="39" spans="1:19" x14ac:dyDescent="0.3">
      <c r="A39" t="s">
        <v>77</v>
      </c>
      <c r="B39" s="1">
        <v>45051</v>
      </c>
      <c r="C39" t="s">
        <v>139</v>
      </c>
      <c r="D39" t="s">
        <v>65</v>
      </c>
      <c r="E39" t="s">
        <v>78</v>
      </c>
      <c r="F39" t="s">
        <v>35</v>
      </c>
      <c r="G39">
        <v>30</v>
      </c>
      <c r="H39">
        <v>200</v>
      </c>
      <c r="I39">
        <v>250</v>
      </c>
      <c r="J39">
        <v>50</v>
      </c>
      <c r="K39" t="s">
        <v>15</v>
      </c>
      <c r="L39">
        <v>100</v>
      </c>
      <c r="M39" t="s">
        <v>79</v>
      </c>
      <c r="N39">
        <v>6.666666666666667</v>
      </c>
      <c r="O39" t="s">
        <v>76</v>
      </c>
      <c r="P39">
        <v>10</v>
      </c>
      <c r="Q39">
        <v>2023</v>
      </c>
      <c r="R39">
        <v>25</v>
      </c>
      <c r="S39">
        <v>1</v>
      </c>
    </row>
    <row r="40" spans="1:19" x14ac:dyDescent="0.3">
      <c r="A40" t="s">
        <v>77</v>
      </c>
      <c r="B40" s="1">
        <v>45051</v>
      </c>
      <c r="C40" t="s">
        <v>139</v>
      </c>
      <c r="D40" t="s">
        <v>65</v>
      </c>
      <c r="E40" t="s">
        <v>78</v>
      </c>
      <c r="F40" t="s">
        <v>35</v>
      </c>
      <c r="G40">
        <v>30</v>
      </c>
      <c r="H40">
        <v>200</v>
      </c>
      <c r="I40">
        <v>250</v>
      </c>
      <c r="J40">
        <v>50</v>
      </c>
      <c r="K40" t="s">
        <v>15</v>
      </c>
      <c r="L40">
        <v>100</v>
      </c>
      <c r="M40" t="s">
        <v>79</v>
      </c>
      <c r="N40">
        <v>6.666666666666667</v>
      </c>
      <c r="O40" t="s">
        <v>166</v>
      </c>
      <c r="P40">
        <v>0</v>
      </c>
      <c r="S40">
        <v>1</v>
      </c>
    </row>
    <row r="41" spans="1:19" x14ac:dyDescent="0.3">
      <c r="A41" t="s">
        <v>80</v>
      </c>
      <c r="B41" s="1">
        <v>44623</v>
      </c>
      <c r="C41" t="s">
        <v>139</v>
      </c>
      <c r="D41" t="s">
        <v>65</v>
      </c>
      <c r="E41" t="s">
        <v>81</v>
      </c>
      <c r="F41" t="s">
        <v>194</v>
      </c>
      <c r="G41">
        <v>20</v>
      </c>
      <c r="H41">
        <v>90</v>
      </c>
      <c r="I41">
        <v>115</v>
      </c>
      <c r="J41">
        <v>25</v>
      </c>
      <c r="K41" t="s">
        <v>29</v>
      </c>
      <c r="L41">
        <v>70</v>
      </c>
      <c r="M41" t="s">
        <v>37</v>
      </c>
      <c r="N41">
        <v>4.5</v>
      </c>
      <c r="O41" t="s">
        <v>82</v>
      </c>
      <c r="P41">
        <v>15</v>
      </c>
      <c r="Q41">
        <v>2022</v>
      </c>
      <c r="R41">
        <v>7.67</v>
      </c>
      <c r="S41">
        <v>1</v>
      </c>
    </row>
    <row r="42" spans="1:19" x14ac:dyDescent="0.3">
      <c r="A42" t="s">
        <v>83</v>
      </c>
      <c r="B42" s="1">
        <v>44512</v>
      </c>
      <c r="C42" t="s">
        <v>139</v>
      </c>
      <c r="D42" t="s">
        <v>65</v>
      </c>
      <c r="E42" t="s">
        <v>84</v>
      </c>
      <c r="F42" t="s">
        <v>197</v>
      </c>
      <c r="G42">
        <v>35</v>
      </c>
      <c r="H42">
        <v>80</v>
      </c>
      <c r="I42">
        <v>100</v>
      </c>
      <c r="J42">
        <v>20</v>
      </c>
      <c r="K42" t="s">
        <v>29</v>
      </c>
      <c r="L42">
        <v>60</v>
      </c>
      <c r="M42" t="s">
        <v>16</v>
      </c>
      <c r="N42">
        <v>2.2857142857142856</v>
      </c>
      <c r="O42" t="s">
        <v>85</v>
      </c>
      <c r="P42">
        <v>12</v>
      </c>
      <c r="Q42">
        <v>2021</v>
      </c>
      <c r="R42">
        <v>8.33</v>
      </c>
      <c r="S42">
        <v>1</v>
      </c>
    </row>
    <row r="43" spans="1:19" x14ac:dyDescent="0.3">
      <c r="A43" t="s">
        <v>86</v>
      </c>
      <c r="B43" s="1">
        <v>45393</v>
      </c>
      <c r="C43" t="s">
        <v>139</v>
      </c>
      <c r="D43" t="s">
        <v>65</v>
      </c>
      <c r="E43" t="s">
        <v>87</v>
      </c>
      <c r="F43" t="s">
        <v>198</v>
      </c>
      <c r="G43">
        <v>25</v>
      </c>
      <c r="H43">
        <v>120</v>
      </c>
      <c r="I43">
        <v>150</v>
      </c>
      <c r="J43">
        <v>30</v>
      </c>
      <c r="K43" t="s">
        <v>15</v>
      </c>
      <c r="L43">
        <v>85</v>
      </c>
      <c r="M43" t="s">
        <v>26</v>
      </c>
      <c r="N43">
        <v>4.8</v>
      </c>
      <c r="O43" t="s">
        <v>88</v>
      </c>
      <c r="P43">
        <v>10</v>
      </c>
      <c r="Q43">
        <v>2024</v>
      </c>
      <c r="R43">
        <v>15</v>
      </c>
      <c r="S43">
        <v>1</v>
      </c>
    </row>
    <row r="44" spans="1:19" x14ac:dyDescent="0.3">
      <c r="A44" t="s">
        <v>167</v>
      </c>
      <c r="B44" s="1">
        <v>45163</v>
      </c>
      <c r="C44" t="s">
        <v>139</v>
      </c>
      <c r="D44" t="s">
        <v>65</v>
      </c>
      <c r="E44" t="s">
        <v>90</v>
      </c>
      <c r="F44" t="s">
        <v>18</v>
      </c>
      <c r="G44">
        <v>20</v>
      </c>
      <c r="H44">
        <v>85</v>
      </c>
      <c r="I44">
        <v>100</v>
      </c>
      <c r="J44">
        <v>15</v>
      </c>
      <c r="K44" t="s">
        <v>29</v>
      </c>
      <c r="L44">
        <v>70</v>
      </c>
      <c r="M44" t="s">
        <v>16</v>
      </c>
      <c r="N44">
        <v>4.25</v>
      </c>
      <c r="O44" t="s">
        <v>168</v>
      </c>
      <c r="P44">
        <v>0</v>
      </c>
      <c r="S44">
        <v>1</v>
      </c>
    </row>
    <row r="45" spans="1:19" x14ac:dyDescent="0.3">
      <c r="A45" t="s">
        <v>167</v>
      </c>
      <c r="B45" s="1">
        <v>45163</v>
      </c>
      <c r="C45" t="s">
        <v>139</v>
      </c>
      <c r="D45" t="s">
        <v>65</v>
      </c>
      <c r="E45" t="s">
        <v>90</v>
      </c>
      <c r="F45" t="s">
        <v>18</v>
      </c>
      <c r="G45">
        <v>20</v>
      </c>
      <c r="H45">
        <v>85</v>
      </c>
      <c r="I45">
        <v>100</v>
      </c>
      <c r="J45">
        <v>15</v>
      </c>
      <c r="K45" t="s">
        <v>29</v>
      </c>
      <c r="L45">
        <v>70</v>
      </c>
      <c r="M45" t="s">
        <v>16</v>
      </c>
      <c r="N45">
        <v>4.25</v>
      </c>
      <c r="O45" t="s">
        <v>169</v>
      </c>
      <c r="P45">
        <v>0</v>
      </c>
      <c r="S45">
        <v>1</v>
      </c>
    </row>
    <row r="46" spans="1:19" x14ac:dyDescent="0.3">
      <c r="A46" t="s">
        <v>91</v>
      </c>
      <c r="B46" s="1">
        <v>44392</v>
      </c>
      <c r="C46" t="s">
        <v>139</v>
      </c>
      <c r="D46" t="s">
        <v>65</v>
      </c>
      <c r="E46" t="s">
        <v>92</v>
      </c>
      <c r="F46" t="s">
        <v>35</v>
      </c>
      <c r="G46">
        <v>25</v>
      </c>
      <c r="H46">
        <v>60</v>
      </c>
      <c r="I46">
        <v>75</v>
      </c>
      <c r="J46">
        <v>15</v>
      </c>
      <c r="K46" t="s">
        <v>56</v>
      </c>
      <c r="L46">
        <v>55</v>
      </c>
      <c r="M46" t="s">
        <v>26</v>
      </c>
      <c r="N46">
        <v>2.4</v>
      </c>
      <c r="O46" t="s">
        <v>88</v>
      </c>
      <c r="P46">
        <v>7</v>
      </c>
      <c r="Q46">
        <v>2021</v>
      </c>
      <c r="R46">
        <v>10.71</v>
      </c>
      <c r="S46">
        <v>0</v>
      </c>
    </row>
    <row r="47" spans="1:19" x14ac:dyDescent="0.3">
      <c r="A47" t="s">
        <v>93</v>
      </c>
      <c r="B47" s="1">
        <v>43503</v>
      </c>
      <c r="C47" t="s">
        <v>139</v>
      </c>
      <c r="D47" t="s">
        <v>65</v>
      </c>
      <c r="E47" t="s">
        <v>94</v>
      </c>
      <c r="F47" t="s">
        <v>35</v>
      </c>
      <c r="G47">
        <v>8</v>
      </c>
      <c r="H47">
        <v>50</v>
      </c>
      <c r="I47">
        <v>65</v>
      </c>
      <c r="J47">
        <v>15</v>
      </c>
      <c r="K47" t="s">
        <v>15</v>
      </c>
      <c r="L47">
        <v>95</v>
      </c>
      <c r="M47" t="s">
        <v>26</v>
      </c>
      <c r="N47">
        <v>6.25</v>
      </c>
      <c r="O47" t="s">
        <v>88</v>
      </c>
      <c r="P47">
        <v>0</v>
      </c>
      <c r="S47">
        <v>1</v>
      </c>
    </row>
    <row r="48" spans="1:19" x14ac:dyDescent="0.3">
      <c r="A48" t="s">
        <v>93</v>
      </c>
      <c r="B48" s="1">
        <v>43503</v>
      </c>
      <c r="C48" t="s">
        <v>139</v>
      </c>
      <c r="D48" t="s">
        <v>65</v>
      </c>
      <c r="E48" t="s">
        <v>94</v>
      </c>
      <c r="F48" t="s">
        <v>35</v>
      </c>
      <c r="G48">
        <v>8</v>
      </c>
      <c r="H48">
        <v>50</v>
      </c>
      <c r="I48">
        <v>65</v>
      </c>
      <c r="J48">
        <v>15</v>
      </c>
      <c r="K48" t="s">
        <v>15</v>
      </c>
      <c r="L48">
        <v>95</v>
      </c>
      <c r="M48" t="s">
        <v>26</v>
      </c>
      <c r="N48">
        <v>6.25</v>
      </c>
      <c r="O48" t="s">
        <v>169</v>
      </c>
      <c r="P48">
        <v>0</v>
      </c>
      <c r="S48">
        <v>1</v>
      </c>
    </row>
    <row r="49" spans="1:19" x14ac:dyDescent="0.3">
      <c r="A49" t="s">
        <v>95</v>
      </c>
      <c r="B49" s="1">
        <v>44582</v>
      </c>
      <c r="C49" t="s">
        <v>139</v>
      </c>
      <c r="D49" t="s">
        <v>65</v>
      </c>
      <c r="E49" t="s">
        <v>96</v>
      </c>
      <c r="F49" t="s">
        <v>195</v>
      </c>
      <c r="G49">
        <v>15</v>
      </c>
      <c r="H49">
        <v>60</v>
      </c>
      <c r="I49">
        <v>80</v>
      </c>
      <c r="J49">
        <v>20</v>
      </c>
      <c r="K49" t="s">
        <v>29</v>
      </c>
      <c r="L49">
        <v>75</v>
      </c>
      <c r="M49" t="s">
        <v>37</v>
      </c>
      <c r="N49">
        <v>4</v>
      </c>
      <c r="O49" t="s">
        <v>97</v>
      </c>
      <c r="P49">
        <v>0</v>
      </c>
      <c r="S49">
        <v>1</v>
      </c>
    </row>
    <row r="50" spans="1:19" x14ac:dyDescent="0.3">
      <c r="A50" t="s">
        <v>98</v>
      </c>
      <c r="B50" s="1">
        <v>43819</v>
      </c>
      <c r="C50" t="s">
        <v>139</v>
      </c>
      <c r="D50" t="s">
        <v>65</v>
      </c>
      <c r="E50" t="s">
        <v>99</v>
      </c>
      <c r="F50" t="s">
        <v>35</v>
      </c>
      <c r="G50">
        <v>12</v>
      </c>
      <c r="H50">
        <v>55</v>
      </c>
      <c r="I50">
        <v>70</v>
      </c>
      <c r="J50">
        <v>15</v>
      </c>
      <c r="K50" t="s">
        <v>29</v>
      </c>
      <c r="L50">
        <v>70</v>
      </c>
      <c r="M50" t="s">
        <v>26</v>
      </c>
      <c r="N50">
        <v>4.583333333333333</v>
      </c>
      <c r="O50" t="s">
        <v>66</v>
      </c>
      <c r="P50">
        <v>0</v>
      </c>
      <c r="S50">
        <v>1</v>
      </c>
    </row>
    <row r="51" spans="1:19" x14ac:dyDescent="0.3">
      <c r="A51" t="s">
        <v>98</v>
      </c>
      <c r="B51" s="1">
        <v>43819</v>
      </c>
      <c r="C51" t="s">
        <v>139</v>
      </c>
      <c r="D51" t="s">
        <v>65</v>
      </c>
      <c r="E51" t="s">
        <v>99</v>
      </c>
      <c r="F51" t="s">
        <v>35</v>
      </c>
      <c r="G51">
        <v>12</v>
      </c>
      <c r="H51">
        <v>55</v>
      </c>
      <c r="I51">
        <v>70</v>
      </c>
      <c r="J51">
        <v>15</v>
      </c>
      <c r="K51" t="s">
        <v>29</v>
      </c>
      <c r="L51">
        <v>70</v>
      </c>
      <c r="M51" t="s">
        <v>26</v>
      </c>
      <c r="N51">
        <v>4.583333333333333</v>
      </c>
      <c r="O51" t="s">
        <v>170</v>
      </c>
      <c r="P51">
        <v>0</v>
      </c>
      <c r="S51">
        <v>1</v>
      </c>
    </row>
    <row r="52" spans="1:19" x14ac:dyDescent="0.3">
      <c r="A52" t="s">
        <v>152</v>
      </c>
      <c r="B52" s="1">
        <v>45162</v>
      </c>
      <c r="C52" t="s">
        <v>139</v>
      </c>
      <c r="D52" t="s">
        <v>65</v>
      </c>
      <c r="E52" t="s">
        <v>101</v>
      </c>
      <c r="F52" t="s">
        <v>18</v>
      </c>
      <c r="G52">
        <v>50</v>
      </c>
      <c r="H52">
        <v>45</v>
      </c>
      <c r="I52">
        <v>70</v>
      </c>
      <c r="J52">
        <v>25</v>
      </c>
      <c r="K52" t="s">
        <v>102</v>
      </c>
      <c r="L52">
        <v>45</v>
      </c>
      <c r="M52" t="s">
        <v>37</v>
      </c>
      <c r="N52">
        <v>0.9</v>
      </c>
      <c r="O52" t="s">
        <v>85</v>
      </c>
      <c r="P52">
        <v>15</v>
      </c>
      <c r="Q52">
        <v>2023</v>
      </c>
      <c r="R52">
        <v>4.67</v>
      </c>
      <c r="S52">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11B7014C-C046-4E22-A5FD-3B737804F7E6}">
  <ds:schemaRefs>
    <ds:schemaRef ds:uri="http://schemas.microsoft.com/DataMashup"/>
  </ds:schemaRefs>
</ds:datastoreItem>
</file>

<file path=customXml/itemProps2.xml><?xml version="1.0" encoding="utf-8"?>
<ds:datastoreItem xmlns:ds="http://schemas.openxmlformats.org/officeDocument/2006/customXml" ds:itemID="{DE8AABC7-DA55-4C75-9950-8C3F480F74C3}">
  <ds:schemaRefs/>
</ds:datastoreItem>
</file>

<file path=customXml/itemProps3.xml><?xml version="1.0" encoding="utf-8"?>
<ds:datastoreItem xmlns:ds="http://schemas.openxmlformats.org/officeDocument/2006/customXml" ds:itemID="{5B77C520-6FB9-4D0B-AC14-5FD629649B79}">
  <ds:schemaRefs/>
</ds:datastoreItem>
</file>

<file path=customXml/itemProps4.xml><?xml version="1.0" encoding="utf-8"?>
<ds:datastoreItem xmlns:ds="http://schemas.openxmlformats.org/officeDocument/2006/customXml" ds:itemID="{A0AE398C-67FA-40A7-887E-669E4F08A211}">
  <ds:schemaRefs/>
</ds:datastoreItem>
</file>

<file path=customXml/itemProps5.xml><?xml version="1.0" encoding="utf-8"?>
<ds:datastoreItem xmlns:ds="http://schemas.openxmlformats.org/officeDocument/2006/customXml" ds:itemID="{88322F22-D5AE-4CCF-9178-335E1606893A}">
  <ds:schemaRefs/>
</ds:datastoreItem>
</file>

<file path=customXml/itemProps6.xml><?xml version="1.0" encoding="utf-8"?>
<ds:datastoreItem xmlns:ds="http://schemas.openxmlformats.org/officeDocument/2006/customXml" ds:itemID="{76F4E0BF-9D59-4592-863F-E4D90AA2C7F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Overview</vt:lpstr>
      <vt:lpstr>Box Office Performance</vt:lpstr>
      <vt:lpstr>Industry Analysis</vt:lpstr>
      <vt:lpstr>Actor Insights</vt:lpstr>
      <vt:lpstr>Trends and Times</vt:lpstr>
      <vt:lpstr>Deep Insights</vt:lpstr>
      <vt:lpstr>Page 1</vt:lpstr>
      <vt:lpstr>Page 2</vt:lpstr>
      <vt:lpstr>Page 3</vt:lpstr>
      <vt:lpstr>Page 4</vt:lpstr>
      <vt:lpstr>Page 5</vt:lpstr>
      <vt:lpstr>Page 6</vt:lpstr>
      <vt:lpstr>movie</vt:lpstr>
      <vt:lpstr>movie_Bridge</vt:lpstr>
      <vt:lpstr>Actor-Remuneration</vt:lpstr>
      <vt:lpstr>year summary</vt:lpstr>
      <vt:lpstr>Merged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PHANI PRAVYAKTH KONDAPALLI</dc:creator>
  <cp:lastModifiedBy>Phani  Kondapalli</cp:lastModifiedBy>
  <dcterms:created xsi:type="dcterms:W3CDTF">2015-06-05T18:17:20Z</dcterms:created>
  <dcterms:modified xsi:type="dcterms:W3CDTF">2026-05-01T14:18:18Z</dcterms:modified>
</cp:coreProperties>
</file>